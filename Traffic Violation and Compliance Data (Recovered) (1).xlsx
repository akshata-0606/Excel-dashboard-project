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kshata biradar\Downloads\"/>
    </mc:Choice>
  </mc:AlternateContent>
  <xr:revisionPtr revIDLastSave="0" documentId="13_ncr:1_{BF707FA9-E6C0-4240-996E-417DADF0D093}" xr6:coauthVersionLast="47" xr6:coauthVersionMax="47" xr10:uidLastSave="{00000000-0000-0000-0000-000000000000}"/>
  <bookViews>
    <workbookView xWindow="-108" yWindow="-108" windowWidth="23256" windowHeight="13176" xr2:uid="{FD19FF10-DFBF-4B93-AA13-856FACF44522}"/>
  </bookViews>
  <sheets>
    <sheet name="Dashboard" sheetId="3" r:id="rId1"/>
    <sheet name="Pivot table" sheetId="2" r:id="rId2"/>
    <sheet name="Sheet1" sheetId="1" r:id="rId3"/>
  </sheets>
  <definedNames>
    <definedName name="Slicer_Year">#N/A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0" i="1" l="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F22" i="2"/>
  <c r="F21" i="2"/>
  <c r="F20" i="2"/>
  <c r="F19" i="2"/>
  <c r="F18" i="2"/>
  <c r="F17" i="2"/>
  <c r="F16" i="2"/>
  <c r="C19" i="2"/>
  <c r="C18" i="2"/>
  <c r="C17" i="2"/>
  <c r="C15" i="3"/>
  <c r="C15" i="3"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<sst xmlns="http://schemas.openxmlformats.org/spreadsheetml/2006/main" count="614" uniqueCount="160">
  <si>
    <t>Device Name</t>
  </si>
  <si>
    <t xml:space="preserve">Compliance </t>
  </si>
  <si>
    <t>Violation Type</t>
  </si>
  <si>
    <t>Violation Date</t>
  </si>
  <si>
    <t>City</t>
  </si>
  <si>
    <t>Total Rules</t>
  </si>
  <si>
    <t>Total Violations</t>
  </si>
  <si>
    <t>Active Violations</t>
  </si>
  <si>
    <t>Solved Violations</t>
  </si>
  <si>
    <t>Ignored Violations</t>
  </si>
  <si>
    <t>Solving Time</t>
  </si>
  <si>
    <t>Environment Managed</t>
  </si>
  <si>
    <t>Environment Disabled</t>
  </si>
  <si>
    <t>Device_106</t>
  </si>
  <si>
    <t>Severe Violation</t>
  </si>
  <si>
    <t>Illegal U-turn</t>
  </si>
  <si>
    <t>New York</t>
  </si>
  <si>
    <t>&lt;1 Week</t>
  </si>
  <si>
    <t>Device_107</t>
  </si>
  <si>
    <t>Compliant</t>
  </si>
  <si>
    <t>Seatbelt Violation</t>
  </si>
  <si>
    <t>Tokyo</t>
  </si>
  <si>
    <t>&lt;12 Hours</t>
  </si>
  <si>
    <t>Device_108</t>
  </si>
  <si>
    <t>Light Violation</t>
  </si>
  <si>
    <t>Red Light Violation</t>
  </si>
  <si>
    <t>Paris</t>
  </si>
  <si>
    <t>Device_109</t>
  </si>
  <si>
    <t>Medium Violation</t>
  </si>
  <si>
    <t>Speeding</t>
  </si>
  <si>
    <t>Sydney</t>
  </si>
  <si>
    <t>10 km/h Speed</t>
  </si>
  <si>
    <t>Device_110</t>
  </si>
  <si>
    <t>Mumbai</t>
  </si>
  <si>
    <t>&lt;1 Month</t>
  </si>
  <si>
    <t>Device_111</t>
  </si>
  <si>
    <t>No License</t>
  </si>
  <si>
    <t>Device_112</t>
  </si>
  <si>
    <t>Device_113</t>
  </si>
  <si>
    <t>25 km/h Speed</t>
  </si>
  <si>
    <t>Device_114</t>
  </si>
  <si>
    <t>Device_115</t>
  </si>
  <si>
    <t>Device_116</t>
  </si>
  <si>
    <t>Device_117</t>
  </si>
  <si>
    <t>Device_118</t>
  </si>
  <si>
    <t>No Helmet</t>
  </si>
  <si>
    <t>Device_119</t>
  </si>
  <si>
    <t>Device_120</t>
  </si>
  <si>
    <t>&lt;1 Day</t>
  </si>
  <si>
    <t>Device_121</t>
  </si>
  <si>
    <t>Device_122</t>
  </si>
  <si>
    <t>Device_123</t>
  </si>
  <si>
    <t>Device_124</t>
  </si>
  <si>
    <t>London</t>
  </si>
  <si>
    <t>50 km/h Speed</t>
  </si>
  <si>
    <t>Device_125</t>
  </si>
  <si>
    <t>Device_126</t>
  </si>
  <si>
    <t>75 km/h Speed</t>
  </si>
  <si>
    <t>Device_127</t>
  </si>
  <si>
    <t>Device_128</t>
  </si>
  <si>
    <t>Device_129</t>
  </si>
  <si>
    <t>Device_130</t>
  </si>
  <si>
    <t>Device_131</t>
  </si>
  <si>
    <t>Device_132</t>
  </si>
  <si>
    <t>Device_133</t>
  </si>
  <si>
    <t>Device_134</t>
  </si>
  <si>
    <t>Singapore</t>
  </si>
  <si>
    <t>Device_135</t>
  </si>
  <si>
    <t>Device_136</t>
  </si>
  <si>
    <t>Device_137</t>
  </si>
  <si>
    <t>Device_138</t>
  </si>
  <si>
    <t>Device_139</t>
  </si>
  <si>
    <t>100 km/h Speed</t>
  </si>
  <si>
    <t>Device_140</t>
  </si>
  <si>
    <t>Device_141</t>
  </si>
  <si>
    <t>Device_142</t>
  </si>
  <si>
    <t>Device_143</t>
  </si>
  <si>
    <t>Device_144</t>
  </si>
  <si>
    <t>Device_145</t>
  </si>
  <si>
    <t>Device_146</t>
  </si>
  <si>
    <t>Device_147</t>
  </si>
  <si>
    <t>Device_148</t>
  </si>
  <si>
    <t>Device_149</t>
  </si>
  <si>
    <t>Device_150</t>
  </si>
  <si>
    <t>Device_151</t>
  </si>
  <si>
    <t>Device_152</t>
  </si>
  <si>
    <t>Device_153</t>
  </si>
  <si>
    <t>Device_154</t>
  </si>
  <si>
    <t>Device_155</t>
  </si>
  <si>
    <t>Device_156</t>
  </si>
  <si>
    <t>Device_157</t>
  </si>
  <si>
    <t>Device_158</t>
  </si>
  <si>
    <t>Device_159</t>
  </si>
  <si>
    <t>Device_160</t>
  </si>
  <si>
    <t>Device_161</t>
  </si>
  <si>
    <t>Device_162</t>
  </si>
  <si>
    <t>Device_163</t>
  </si>
  <si>
    <t>Device_164</t>
  </si>
  <si>
    <t>Device_165</t>
  </si>
  <si>
    <t>Device_166</t>
  </si>
  <si>
    <t>Device_167</t>
  </si>
  <si>
    <t>Device_168</t>
  </si>
  <si>
    <t>Device_169</t>
  </si>
  <si>
    <t>Device_170</t>
  </si>
  <si>
    <t>Device_171</t>
  </si>
  <si>
    <t>Device_172</t>
  </si>
  <si>
    <t>Device_173</t>
  </si>
  <si>
    <t>Device_174</t>
  </si>
  <si>
    <t>Device_175</t>
  </si>
  <si>
    <t>Device_176</t>
  </si>
  <si>
    <t>Device_177</t>
  </si>
  <si>
    <t>Device_178</t>
  </si>
  <si>
    <t>Device_179</t>
  </si>
  <si>
    <t>Device_180</t>
  </si>
  <si>
    <t>Device_181</t>
  </si>
  <si>
    <t>Device_182</t>
  </si>
  <si>
    <t>Device_183</t>
  </si>
  <si>
    <t>Device_184</t>
  </si>
  <si>
    <t>Device_185</t>
  </si>
  <si>
    <t>Device_186</t>
  </si>
  <si>
    <t>Device_187</t>
  </si>
  <si>
    <t>Device_188</t>
  </si>
  <si>
    <t>Device_189</t>
  </si>
  <si>
    <t>Device_190</t>
  </si>
  <si>
    <t>Device_191</t>
  </si>
  <si>
    <t>Device_192</t>
  </si>
  <si>
    <t>Device_193</t>
  </si>
  <si>
    <t>Device_194</t>
  </si>
  <si>
    <t>Device_195</t>
  </si>
  <si>
    <t>Device_196</t>
  </si>
  <si>
    <t>Device_197</t>
  </si>
  <si>
    <t>Device_198</t>
  </si>
  <si>
    <t>Device_199</t>
  </si>
  <si>
    <t>Device_200</t>
  </si>
  <si>
    <t>Device_201</t>
  </si>
  <si>
    <t>Device_202</t>
  </si>
  <si>
    <t>Device_203</t>
  </si>
  <si>
    <t>Device_204</t>
  </si>
  <si>
    <t>Year</t>
  </si>
  <si>
    <t>Sum of Total Violations</t>
  </si>
  <si>
    <t>Row Labels</t>
  </si>
  <si>
    <t>Grand Total</t>
  </si>
  <si>
    <t>Sum of Active Violations</t>
  </si>
  <si>
    <t>Sum of Solved Violations</t>
  </si>
  <si>
    <t>Sum of Ignored Violations</t>
  </si>
  <si>
    <t>Values</t>
  </si>
  <si>
    <t>Overview and key metric section</t>
  </si>
  <si>
    <t>Metrices</t>
  </si>
  <si>
    <t xml:space="preserve"> Total Rules</t>
  </si>
  <si>
    <t xml:space="preserve"> Total Violations</t>
  </si>
  <si>
    <t xml:space="preserve"> Active Violations</t>
  </si>
  <si>
    <t xml:space="preserve"> Solved Violations</t>
  </si>
  <si>
    <t xml:space="preserve"> Ignored Violations</t>
  </si>
  <si>
    <t xml:space="preserve"> Environment Managed</t>
  </si>
  <si>
    <t xml:space="preserve"> Environment Disabled</t>
  </si>
  <si>
    <t>No of violations by type</t>
  </si>
  <si>
    <t>Active violations by city</t>
  </si>
  <si>
    <t>No of active &amp;solved</t>
  </si>
  <si>
    <t>Solved by compilance</t>
  </si>
  <si>
    <t xml:space="preserve"> Solved by copilance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</si>
</sst>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4"/>
      <color rgb="FFFF0000"/>
      <name val="Calibri"/>
      <family val="2"/>
    </font>
    <font>
      <sz val="14"/>
      <color theme="1"/>
      <name val="Calibri"/>
      <family val="2"/>
    </font>
  </fonts>
  <fills count="4">
    <fill>
      <patternFill patternType="none"/>
    </fill>
    <fill>
      <patternFill patternType="gray125"/>
    </fill>
    <fill>
      <patternFill patternType="solid">
        <fgColor theme="2" tint="-0.249977111117893"/>
        <bgColor theme="4" tint="0.79998168889431442"/>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0" fontId="4" fillId="0" borderId="0" xfId="0" applyFont="1"/>
    <xf numFmtId="0" fontId="5" fillId="0" borderId="0" xfId="0" applyFont="1"/>
    <xf numFmtId="0" fontId="0" fillId="0" borderId="1" xfId="0" applyBorder="1" applyAlignment="1">
      <alignment horizontal="left"/>
    </xf>
    <xf numFmtId="0" fontId="0" fillId="0" borderId="1" xfId="0" applyBorder="1"/>
    <xf numFmtId="9" fontId="0" fillId="0" borderId="0" xfId="1" applyFont="1"/>
    <xf numFmtId="0" fontId="3" fillId="2" borderId="1" xfId="0" applyFont="1" applyFill="1" applyBorder="1"/>
    <xf numFmtId="0" fontId="0" fillId="3" borderId="1" xfId="0" applyFill="1" applyBorder="1"/>
    <xf numFmtId="10" fontId="0" fillId="0" borderId="0" xfId="0" applyNumberFormat="1"/>
    <xf numFmtId="0" fontId="0" fillId="0" borderId="0" xfId="0" applyNumberFormat="1"/>
    <xf numFmtId="0" fontId="0" fillId="0" borderId="1" xfId="0" applyNumberFormat="1" applyBorder="1"/>
  </cellXfs>
  <cellStyles count="2">
    <cellStyle name="Normal" xfId="0" builtinId="0"/>
    <cellStyle name="Percent" xfId="1" builtinId="5"/>
  </cellStyles>
  <dxfs count="9">
    <dxf>
      <numFmt numFmtId="0" formatCode="General"/>
    </dxf>
    <dxf>
      <numFmt numFmtId="19" formatCode="dd/mm/yyyy"/>
    </dxf>
    <dxf>
      <fill>
        <patternFill patternType="solid">
          <bgColor theme="2" tint="-0.249977111117893"/>
        </patternFill>
      </fill>
    </dxf>
    <dxf>
      <fill>
        <patternFill patternType="solid">
          <bgColor theme="2"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0.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(Recovered) (1).xlsx]Pivot table!PivotTable4</c:name>
    <c:fmtId val="4"/>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101600" dir="5400000" sx="2000" sy="2000" algn="ctr" rotWithShape="0">
              <a:srgbClr val="000000">
                <a:alpha val="43137"/>
              </a:srgbClr>
            </a:outerShdw>
          </a:effectLst>
        </c:spPr>
      </c:pivotFmt>
    </c:pivotFmts>
    <c:plotArea>
      <c:layout>
        <c:manualLayout>
          <c:layoutTarget val="inner"/>
          <c:xMode val="edge"/>
          <c:yMode val="edge"/>
          <c:x val="0.37441332110904935"/>
          <c:y val="0.35618400481007795"/>
          <c:w val="0.46834282504686392"/>
          <c:h val="0.54713460445217921"/>
        </c:manualLayout>
      </c:layout>
      <c:barChart>
        <c:barDir val="bar"/>
        <c:grouping val="clustered"/>
        <c:varyColors val="0"/>
        <c:ser>
          <c:idx val="0"/>
          <c:order val="0"/>
          <c:tx>
            <c:strRef>
              <c:f>'Pivot table'!$E$4</c:f>
              <c:strCache>
                <c:ptCount val="1"/>
                <c:pt idx="0">
                  <c:v>Total</c:v>
                </c:pt>
              </c:strCache>
            </c:strRef>
          </c:tx>
          <c:spPr>
            <a:solidFill>
              <a:schemeClr val="accent1"/>
            </a:solidFill>
            <a:ln>
              <a:noFill/>
            </a:ln>
            <a:effectLst/>
          </c:spPr>
          <c:invertIfNegative val="0"/>
          <c:dPt>
            <c:idx val="5"/>
            <c:invertIfNegative val="0"/>
            <c:bubble3D val="0"/>
            <c:spPr>
              <a:solidFill>
                <a:schemeClr val="accent1"/>
              </a:solidFill>
              <a:ln>
                <a:noFill/>
              </a:ln>
              <a:effectLst>
                <a:outerShdw blurRad="50800" dist="101600" dir="5400000" sx="2000" sy="2000" algn="ctr" rotWithShape="0">
                  <a:srgbClr val="000000">
                    <a:alpha val="43137"/>
                  </a:srgbClr>
                </a:outerShdw>
              </a:effectLst>
            </c:spPr>
            <c:extLst>
              <c:ext xmlns:c16="http://schemas.microsoft.com/office/drawing/2014/chart" uri="{C3380CC4-5D6E-409C-BE32-E72D297353CC}">
                <c16:uniqueId val="{00000002-EBCF-4832-8E1B-B2DF8B8822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table'!$D$5:$D$11</c:f>
              <c:strCache>
                <c:ptCount val="6"/>
                <c:pt idx="0">
                  <c:v>Illegal U-turn</c:v>
                </c:pt>
                <c:pt idx="1">
                  <c:v>No Helmet</c:v>
                </c:pt>
                <c:pt idx="2">
                  <c:v>No License</c:v>
                </c:pt>
                <c:pt idx="3">
                  <c:v>Red Light Violation</c:v>
                </c:pt>
                <c:pt idx="4">
                  <c:v>Seatbelt Violation</c:v>
                </c:pt>
                <c:pt idx="5">
                  <c:v>Speeding</c:v>
                </c:pt>
              </c:strCache>
            </c:strRef>
          </c:cat>
          <c:val>
            <c:numRef>
              <c:f>'Pivot table'!$E$5:$E$11</c:f>
              <c:numCache>
                <c:formatCode>General</c:formatCode>
                <c:ptCount val="6"/>
                <c:pt idx="0">
                  <c:v>247</c:v>
                </c:pt>
                <c:pt idx="1">
                  <c:v>290</c:v>
                </c:pt>
                <c:pt idx="2">
                  <c:v>109</c:v>
                </c:pt>
                <c:pt idx="3">
                  <c:v>310</c:v>
                </c:pt>
                <c:pt idx="4">
                  <c:v>249</c:v>
                </c:pt>
                <c:pt idx="5">
                  <c:v>150</c:v>
                </c:pt>
              </c:numCache>
            </c:numRef>
          </c:val>
          <c:extLst>
            <c:ext xmlns:c16="http://schemas.microsoft.com/office/drawing/2014/chart" uri="{C3380CC4-5D6E-409C-BE32-E72D297353CC}">
              <c16:uniqueId val="{00000000-EBCF-4832-8E1B-B2DF8B88228E}"/>
            </c:ext>
          </c:extLst>
        </c:ser>
        <c:dLbls>
          <c:dLblPos val="outEnd"/>
          <c:showLegendKey val="0"/>
          <c:showVal val="1"/>
          <c:showCatName val="0"/>
          <c:showSerName val="0"/>
          <c:showPercent val="0"/>
          <c:showBubbleSize val="0"/>
        </c:dLbls>
        <c:gapWidth val="100"/>
        <c:overlap val="-50"/>
        <c:axId val="352997696"/>
        <c:axId val="352999136"/>
      </c:barChart>
      <c:catAx>
        <c:axId val="352997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99136"/>
        <c:crosses val="autoZero"/>
        <c:auto val="1"/>
        <c:lblAlgn val="ctr"/>
        <c:lblOffset val="100"/>
        <c:noMultiLvlLbl val="0"/>
      </c:catAx>
      <c:valAx>
        <c:axId val="352999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9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55992659990129"/>
          <c:y val="9.8272143200793721E-2"/>
          <c:w val="0.48209100303470692"/>
          <c:h val="0.8140228953686715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C0-4BC9-870D-B27C931B767F}"/>
              </c:ext>
            </c:extLst>
          </c:dPt>
          <c:val>
            <c:numRef>
              <c:f>'Pivot table'!$B$24</c:f>
              <c:numCache>
                <c:formatCode>General</c:formatCode>
                <c:ptCount val="1"/>
                <c:pt idx="0">
                  <c:v>2307</c:v>
                </c:pt>
              </c:numCache>
            </c:numRef>
          </c:val>
          <c:extLst>
            <c:ext xmlns:c16="http://schemas.microsoft.com/office/drawing/2014/chart" uri="{C3380CC4-5D6E-409C-BE32-E72D297353CC}">
              <c16:uniqueId val="{00000002-D0C0-4BC9-870D-B27C931B767F}"/>
            </c:ext>
          </c:extLst>
        </c:ser>
        <c:dLbls>
          <c:showLegendKey val="0"/>
          <c:showVal val="0"/>
          <c:showCatName val="0"/>
          <c:showSerName val="0"/>
          <c:showPercent val="0"/>
          <c:showBubbleSize val="0"/>
          <c:showLeaderLines val="1"/>
        </c:dLbls>
        <c:firstSliceAng val="0"/>
        <c:holeSize val="65"/>
      </c:doughnutChart>
      <c:spPr>
        <a:noFill/>
        <a:ln>
          <a:noFill/>
        </a:ln>
        <a:effectLst>
          <a:outerShdw blurRad="50800" dist="254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a:outerShdw blurRad="50800" dist="50800" dir="5400000" algn="ctr" rotWithShape="0">
        <a:schemeClr val="tx1">
          <a:lumMod val="65000"/>
          <a:lumOff val="35000"/>
        </a:scheme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295327287754793"/>
          <c:y val="0.1395652110206454"/>
          <c:w val="0.45658524823841518"/>
          <c:h val="0.81391305197247277"/>
        </c:manualLayout>
      </c:layout>
      <c:doughnutChart>
        <c:varyColors val="1"/>
        <c:ser>
          <c:idx val="0"/>
          <c:order val="0"/>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2828-4558-AB01-1CAC1B00AF13}"/>
              </c:ext>
            </c:extLst>
          </c:dPt>
          <c:dPt>
            <c:idx val="1"/>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3-2828-4558-AB01-1CAC1B00AF13}"/>
              </c:ext>
            </c:extLst>
          </c:dPt>
          <c:cat>
            <c:strRef>
              <c:extLst>
                <c:ext xmlns:c15="http://schemas.microsoft.com/office/drawing/2012/chart" uri="{02D57815-91ED-43cb-92C2-25804820EDAC}">
                  <c15:fullRef>
                    <c15:sqref>'Pivot table'!$A$23:$A$29</c15:sqref>
                  </c15:fullRef>
                </c:ext>
              </c:extLst>
              <c:f>'Pivot table'!$A$24:$A$25</c:f>
              <c:strCache>
                <c:ptCount val="2"/>
                <c:pt idx="0">
                  <c:v> Total Violations</c:v>
                </c:pt>
                <c:pt idx="1">
                  <c:v> Active Violations</c:v>
                </c:pt>
              </c:strCache>
            </c:strRef>
          </c:cat>
          <c:val>
            <c:numRef>
              <c:extLst>
                <c:ext xmlns:c15="http://schemas.microsoft.com/office/drawing/2012/chart" uri="{02D57815-91ED-43cb-92C2-25804820EDAC}">
                  <c15:fullRef>
                    <c15:sqref>'Pivot table'!$B$23:$B$29</c15:sqref>
                  </c15:fullRef>
                </c:ext>
              </c:extLst>
              <c:f>'Pivot table'!$B$24:$B$25</c:f>
              <c:numCache>
                <c:formatCode>General</c:formatCode>
                <c:ptCount val="2"/>
                <c:pt idx="0">
                  <c:v>2307</c:v>
                </c:pt>
                <c:pt idx="1">
                  <c:v>720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2828-4558-AB01-1CAC1B00AF13}"/>
            </c:ext>
          </c:extLst>
        </c:ser>
        <c:dLbls>
          <c:showLegendKey val="0"/>
          <c:showVal val="0"/>
          <c:showCatName val="0"/>
          <c:showSerName val="0"/>
          <c:showPercent val="0"/>
          <c:showBubbleSize val="0"/>
          <c:showLeaderLines val="1"/>
        </c:dLbls>
        <c:firstSliceAng val="0"/>
        <c:holeSize val="61"/>
      </c:doughnutChart>
      <c:spPr>
        <a:solidFill>
          <a:schemeClr val="bg1"/>
        </a:solidFill>
        <a:ln>
          <a:noFill/>
        </a:ln>
        <a:effectLst>
          <a:outerShdw blurRad="50800" dist="50800" dir="5400000" algn="ctr" rotWithShape="0">
            <a:schemeClr val="tx1">
              <a:lumMod val="65000"/>
              <a:lumOff val="35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65000"/>
          <a:lumOff val="35000"/>
        </a:scheme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23200323791857527"/>
          <c:y val="8.6290363676513049E-2"/>
          <c:w val="0.43858515702253092"/>
          <c:h val="0.84180099992639268"/>
        </c:manualLayout>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A6B5-4023-847F-8744CC554E97}"/>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A6B5-4023-847F-8744CC554E97}"/>
              </c:ext>
            </c:extLst>
          </c:dPt>
          <c:cat>
            <c:strRef>
              <c:extLst>
                <c:ext xmlns:c15="http://schemas.microsoft.com/office/drawing/2012/chart" uri="{02D57815-91ED-43cb-92C2-25804820EDAC}">
                  <c15:fullRef>
                    <c15:sqref>'Pivot table'!$A$23:$A$29</c15:sqref>
                  </c15:fullRef>
                </c:ext>
              </c:extLst>
              <c:f>('Pivot table'!$A$24,'Pivot table'!$A$27)</c:f>
              <c:strCache>
                <c:ptCount val="2"/>
                <c:pt idx="0">
                  <c:v> Total Violations</c:v>
                </c:pt>
                <c:pt idx="1">
                  <c:v> Ignored Violations</c:v>
                </c:pt>
              </c:strCache>
            </c:strRef>
          </c:cat>
          <c:val>
            <c:numRef>
              <c:extLst>
                <c:ext xmlns:c15="http://schemas.microsoft.com/office/drawing/2012/chart" uri="{02D57815-91ED-43cb-92C2-25804820EDAC}">
                  <c15:fullRef>
                    <c15:sqref>'Pivot table'!$B$23:$B$29</c15:sqref>
                  </c15:fullRef>
                </c:ext>
              </c:extLst>
              <c:f>('Pivot table'!$B$24,'Pivot table'!$B$27)</c:f>
              <c:numCache>
                <c:formatCode>General</c:formatCode>
                <c:ptCount val="2"/>
                <c:pt idx="0">
                  <c:v>2307</c:v>
                </c:pt>
                <c:pt idx="1">
                  <c:v>531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A6B5-4023-847F-8744CC554E97}"/>
            </c:ext>
          </c:extLst>
        </c:ser>
        <c:dLbls>
          <c:showLegendKey val="0"/>
          <c:showVal val="0"/>
          <c:showCatName val="0"/>
          <c:showSerName val="0"/>
          <c:showPercent val="0"/>
          <c:showBubbleSize val="0"/>
          <c:showLeaderLines val="1"/>
        </c:dLbls>
        <c:firstSliceAng val="0"/>
        <c:holeSize val="65"/>
      </c:doughnutChart>
      <c:spPr>
        <a:noFill/>
        <a:ln>
          <a:noFill/>
        </a:ln>
        <a:effectLst>
          <a:outerShdw blurRad="50800" dist="50800" dir="5400000" algn="ctr" rotWithShape="0">
            <a:schemeClr val="tx1">
              <a:lumMod val="65000"/>
              <a:lumOff val="35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65000"/>
          <a:lumOff val="35000"/>
        </a:scheme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473924470971103"/>
          <c:y val="0.1217650775819701"/>
          <c:w val="0.4562153053841298"/>
          <c:h val="0.8211870158440403"/>
        </c:manualLayout>
      </c:layout>
      <c:doughnutChart>
        <c:varyColors val="1"/>
        <c:ser>
          <c:idx val="0"/>
          <c:order val="0"/>
          <c:spPr>
            <a:solidFill>
              <a:schemeClr val="tx1">
                <a:lumMod val="50000"/>
                <a:lumOff val="50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8954-4420-9608-CED1DAD475B1}"/>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8954-4420-9608-CED1DAD475B1}"/>
              </c:ext>
            </c:extLst>
          </c:dPt>
          <c:cat>
            <c:strRef>
              <c:extLst>
                <c:ext xmlns:c15="http://schemas.microsoft.com/office/drawing/2012/chart" uri="{02D57815-91ED-43cb-92C2-25804820EDAC}">
                  <c15:fullRef>
                    <c15:sqref>'Pivot table'!$A$23:$A$29</c15:sqref>
                  </c15:fullRef>
                </c:ext>
              </c:extLst>
              <c:f>('Pivot table'!$A$24,'Pivot table'!$A$26)</c:f>
              <c:strCache>
                <c:ptCount val="2"/>
                <c:pt idx="0">
                  <c:v> Total Violations</c:v>
                </c:pt>
                <c:pt idx="1">
                  <c:v> Solved Violations</c:v>
                </c:pt>
              </c:strCache>
            </c:strRef>
          </c:cat>
          <c:val>
            <c:numRef>
              <c:extLst>
                <c:ext xmlns:c15="http://schemas.microsoft.com/office/drawing/2012/chart" uri="{02D57815-91ED-43cb-92C2-25804820EDAC}">
                  <c15:fullRef>
                    <c15:sqref>'Pivot table'!$B$23:$B$29</c15:sqref>
                  </c15:fullRef>
                </c:ext>
              </c:extLst>
              <c:f>('Pivot table'!$B$24,'Pivot table'!$B$26)</c:f>
              <c:numCache>
                <c:formatCode>General</c:formatCode>
                <c:ptCount val="2"/>
                <c:pt idx="0">
                  <c:v>2307</c:v>
                </c:pt>
                <c:pt idx="1">
                  <c:v>1041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8954-4420-9608-CED1DAD475B1}"/>
            </c:ext>
          </c:extLst>
        </c:ser>
        <c:dLbls>
          <c:showLegendKey val="0"/>
          <c:showVal val="0"/>
          <c:showCatName val="0"/>
          <c:showSerName val="0"/>
          <c:showPercent val="0"/>
          <c:showBubbleSize val="0"/>
          <c:showLeaderLines val="1"/>
        </c:dLbls>
        <c:firstSliceAng val="0"/>
        <c:holeSize val="65"/>
      </c:doughnutChart>
      <c:spPr>
        <a:noFill/>
        <a:ln>
          <a:noFill/>
        </a:ln>
        <a:effectLst>
          <a:outerShdw blurRad="50800" dist="50800" dir="5400000" algn="ctr" rotWithShape="0">
            <a:schemeClr val="tx1">
              <a:lumMod val="65000"/>
              <a:lumOff val="35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65000"/>
          <a:lumOff val="35000"/>
        </a:scheme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704169605564337"/>
          <c:y val="0.18560185185185185"/>
          <c:w val="0.4797591128401264"/>
          <c:h val="0.6714577865266842"/>
        </c:manualLayout>
      </c:layout>
      <c:doughnutChart>
        <c:varyColors val="1"/>
        <c:ser>
          <c:idx val="0"/>
          <c:order val="0"/>
          <c:tx>
            <c:strRef>
              <c:f>'Pivot table'!$H$15</c:f>
              <c:strCache>
                <c:ptCount val="1"/>
                <c:pt idx="0">
                  <c:v> Active Violations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0F-46ED-9F7C-DE7D27B95E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0F-46ED-9F7C-DE7D27B95E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0F-46ED-9F7C-DE7D27B95E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0F-46ED-9F7C-DE7D27B95E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0F-46ED-9F7C-DE7D27B95E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0F-46ED-9F7C-DE7D27B95E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C0F-46ED-9F7C-DE7D27B95E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table'!$G$16:$G$22</c:f>
              <c:strCache>
                <c:ptCount val="7"/>
                <c:pt idx="0">
                  <c:v>Tokyo</c:v>
                </c:pt>
                <c:pt idx="1">
                  <c:v>Singapore</c:v>
                </c:pt>
                <c:pt idx="2">
                  <c:v>Paris</c:v>
                </c:pt>
                <c:pt idx="3">
                  <c:v>Mumbai</c:v>
                </c:pt>
                <c:pt idx="4">
                  <c:v>Sydney</c:v>
                </c:pt>
                <c:pt idx="5">
                  <c:v>London</c:v>
                </c:pt>
                <c:pt idx="6">
                  <c:v>New York</c:v>
                </c:pt>
              </c:strCache>
            </c:strRef>
          </c:cat>
          <c:val>
            <c:numRef>
              <c:f>'Pivot table'!$H$16:$H$22</c:f>
              <c:numCache>
                <c:formatCode>General</c:formatCode>
                <c:ptCount val="7"/>
                <c:pt idx="0">
                  <c:v>37</c:v>
                </c:pt>
                <c:pt idx="1">
                  <c:v>54</c:v>
                </c:pt>
                <c:pt idx="2">
                  <c:v>68</c:v>
                </c:pt>
                <c:pt idx="3">
                  <c:v>121</c:v>
                </c:pt>
                <c:pt idx="4">
                  <c:v>126</c:v>
                </c:pt>
                <c:pt idx="5">
                  <c:v>147</c:v>
                </c:pt>
                <c:pt idx="6">
                  <c:v>167</c:v>
                </c:pt>
              </c:numCache>
            </c:numRef>
          </c:val>
          <c:extLst>
            <c:ext xmlns:c16="http://schemas.microsoft.com/office/drawing/2014/chart" uri="{C3380CC4-5D6E-409C-BE32-E72D297353CC}">
              <c16:uniqueId val="{0000000E-CC0F-46ED-9F7C-DE7D27B95E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(Recovered) (1).xlsx]Pivot table!PivotTable7</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table'!$J$4</c:f>
              <c:strCache>
                <c:ptCount val="1"/>
                <c:pt idx="0">
                  <c:v>Sum of Active Violations</c:v>
                </c:pt>
              </c:strCache>
            </c:strRef>
          </c:tx>
          <c:spPr>
            <a:solidFill>
              <a:schemeClr val="accent1"/>
            </a:solidFill>
            <a:ln>
              <a:noFill/>
            </a:ln>
            <a:effectLst/>
            <a:sp3d/>
          </c:spPr>
          <c:invertIfNegative val="0"/>
          <c:cat>
            <c:strRef>
              <c:f>'Pivot table'!$I$5:$I$9</c:f>
              <c:strCache>
                <c:ptCount val="4"/>
                <c:pt idx="0">
                  <c:v>&lt;1 Day</c:v>
                </c:pt>
                <c:pt idx="1">
                  <c:v>&lt;1 Month</c:v>
                </c:pt>
                <c:pt idx="2">
                  <c:v>&lt;1 Week</c:v>
                </c:pt>
                <c:pt idx="3">
                  <c:v>&lt;12 Hours</c:v>
                </c:pt>
              </c:strCache>
            </c:strRef>
          </c:cat>
          <c:val>
            <c:numRef>
              <c:f>'Pivot table'!$J$5:$J$9</c:f>
              <c:numCache>
                <c:formatCode>General</c:formatCode>
                <c:ptCount val="4"/>
                <c:pt idx="0">
                  <c:v>68</c:v>
                </c:pt>
                <c:pt idx="1">
                  <c:v>90</c:v>
                </c:pt>
                <c:pt idx="2">
                  <c:v>97</c:v>
                </c:pt>
                <c:pt idx="3">
                  <c:v>79</c:v>
                </c:pt>
              </c:numCache>
            </c:numRef>
          </c:val>
          <c:extLst>
            <c:ext xmlns:c16="http://schemas.microsoft.com/office/drawing/2014/chart" uri="{C3380CC4-5D6E-409C-BE32-E72D297353CC}">
              <c16:uniqueId val="{00000000-E7A5-44B1-925B-A8F9C8429C2B}"/>
            </c:ext>
          </c:extLst>
        </c:ser>
        <c:ser>
          <c:idx val="1"/>
          <c:order val="1"/>
          <c:tx>
            <c:strRef>
              <c:f>'Pivot table'!$K$4</c:f>
              <c:strCache>
                <c:ptCount val="1"/>
                <c:pt idx="0">
                  <c:v>Sum of Solved Violations</c:v>
                </c:pt>
              </c:strCache>
            </c:strRef>
          </c:tx>
          <c:spPr>
            <a:solidFill>
              <a:schemeClr val="accent2"/>
            </a:solidFill>
            <a:ln>
              <a:noFill/>
            </a:ln>
            <a:effectLst/>
            <a:sp3d/>
          </c:spPr>
          <c:invertIfNegative val="0"/>
          <c:cat>
            <c:strRef>
              <c:f>'Pivot table'!$I$5:$I$9</c:f>
              <c:strCache>
                <c:ptCount val="4"/>
                <c:pt idx="0">
                  <c:v>&lt;1 Day</c:v>
                </c:pt>
                <c:pt idx="1">
                  <c:v>&lt;1 Month</c:v>
                </c:pt>
                <c:pt idx="2">
                  <c:v>&lt;1 Week</c:v>
                </c:pt>
                <c:pt idx="3">
                  <c:v>&lt;12 Hours</c:v>
                </c:pt>
              </c:strCache>
            </c:strRef>
          </c:cat>
          <c:val>
            <c:numRef>
              <c:f>'Pivot table'!$K$5:$K$9</c:f>
              <c:numCache>
                <c:formatCode>General</c:formatCode>
                <c:ptCount val="4"/>
                <c:pt idx="0">
                  <c:v>174</c:v>
                </c:pt>
                <c:pt idx="1">
                  <c:v>147</c:v>
                </c:pt>
                <c:pt idx="2">
                  <c:v>126</c:v>
                </c:pt>
                <c:pt idx="3">
                  <c:v>126</c:v>
                </c:pt>
              </c:numCache>
            </c:numRef>
          </c:val>
          <c:extLst>
            <c:ext xmlns:c16="http://schemas.microsoft.com/office/drawing/2014/chart" uri="{C3380CC4-5D6E-409C-BE32-E72D297353CC}">
              <c16:uniqueId val="{00000001-E7A5-44B1-925B-A8F9C8429C2B}"/>
            </c:ext>
          </c:extLst>
        </c:ser>
        <c:dLbls>
          <c:showLegendKey val="0"/>
          <c:showVal val="0"/>
          <c:showCatName val="0"/>
          <c:showSerName val="0"/>
          <c:showPercent val="0"/>
          <c:showBubbleSize val="0"/>
        </c:dLbls>
        <c:gapWidth val="150"/>
        <c:shape val="box"/>
        <c:axId val="624848528"/>
        <c:axId val="624847088"/>
        <c:axId val="0"/>
      </c:bar3DChart>
      <c:catAx>
        <c:axId val="624848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47088"/>
        <c:crosses val="autoZero"/>
        <c:auto val="1"/>
        <c:lblAlgn val="ctr"/>
        <c:lblOffset val="100"/>
        <c:noMultiLvlLbl val="0"/>
      </c:catAx>
      <c:valAx>
        <c:axId val="62484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4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(Recovered) (1).xlsx]Pivot table!PivotTable8</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table'!$J$14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table'!$I$15:$I$19</c:f>
              <c:strCache>
                <c:ptCount val="4"/>
                <c:pt idx="0">
                  <c:v>Compliant</c:v>
                </c:pt>
                <c:pt idx="1">
                  <c:v>Light Violation</c:v>
                </c:pt>
                <c:pt idx="2">
                  <c:v>Medium Violation</c:v>
                </c:pt>
                <c:pt idx="3">
                  <c:v>Severe Violation</c:v>
                </c:pt>
              </c:strCache>
            </c:strRef>
          </c:cat>
          <c:val>
            <c:numRef>
              <c:f>'Pivot table'!$J$15:$J$19</c:f>
              <c:numCache>
                <c:formatCode>General</c:formatCode>
                <c:ptCount val="4"/>
                <c:pt idx="0">
                  <c:v>220</c:v>
                </c:pt>
                <c:pt idx="1">
                  <c:v>127</c:v>
                </c:pt>
                <c:pt idx="2">
                  <c:v>139</c:v>
                </c:pt>
                <c:pt idx="3">
                  <c:v>869</c:v>
                </c:pt>
              </c:numCache>
            </c:numRef>
          </c:val>
          <c:smooth val="0"/>
          <c:extLst>
            <c:ext xmlns:c16="http://schemas.microsoft.com/office/drawing/2014/chart" uri="{C3380CC4-5D6E-409C-BE32-E72D297353CC}">
              <c16:uniqueId val="{00000000-62CF-48D0-AE31-EE6B100546E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90260144"/>
        <c:axId val="990259184"/>
      </c:lineChart>
      <c:catAx>
        <c:axId val="990260144"/>
        <c:scaling>
          <c:orientation val="minMax"/>
        </c:scaling>
        <c:delete val="0"/>
        <c:axPos val="b"/>
        <c:numFmt formatCode="General" sourceLinked="1"/>
        <c:majorTickMark val="none"/>
        <c:minorTickMark val="none"/>
        <c:tickLblPos val="nextTo"/>
        <c:spPr>
          <a:solidFill>
            <a:schemeClr val="accent3">
              <a:lumMod val="75000"/>
            </a:schemeClr>
          </a:solid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90259184"/>
        <c:crosses val="autoZero"/>
        <c:auto val="1"/>
        <c:lblAlgn val="ctr"/>
        <c:lblOffset val="100"/>
        <c:noMultiLvlLbl val="0"/>
      </c:catAx>
      <c:valAx>
        <c:axId val="990259184"/>
        <c:scaling>
          <c:orientation val="minMax"/>
        </c:scaling>
        <c:delete val="1"/>
        <c:axPos val="l"/>
        <c:numFmt formatCode="General" sourceLinked="1"/>
        <c:majorTickMark val="none"/>
        <c:minorTickMark val="none"/>
        <c:tickLblPos val="nextTo"/>
        <c:crossAx val="99026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(Recovered) (1).xlsx]Pivot table!PivotTable10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FF0000"/>
          </a:solidFill>
          <a:ln>
            <a:noFill/>
          </a:ln>
          <a:effectLst/>
        </c:spPr>
      </c:pivotFmt>
    </c:pivotFmts>
    <c:plotArea>
      <c:layout/>
      <c:barChart>
        <c:barDir val="col"/>
        <c:grouping val="clustered"/>
        <c:varyColors val="0"/>
        <c:ser>
          <c:idx val="0"/>
          <c:order val="0"/>
          <c:tx>
            <c:strRef>
              <c:f>'Pivot table'!$K$30</c:f>
              <c:strCache>
                <c:ptCount val="1"/>
                <c:pt idx="0">
                  <c:v>Sum of Active Violations</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table'!$J$31:$J$35</c:f>
              <c:strCache>
                <c:ptCount val="4"/>
                <c:pt idx="0">
                  <c:v>Compliant</c:v>
                </c:pt>
                <c:pt idx="1">
                  <c:v>Light Violation</c:v>
                </c:pt>
                <c:pt idx="2">
                  <c:v>Medium Violation</c:v>
                </c:pt>
                <c:pt idx="3">
                  <c:v>Severe Violation</c:v>
                </c:pt>
              </c:strCache>
            </c:strRef>
          </c:cat>
          <c:val>
            <c:numRef>
              <c:f>'Pivot table'!$K$31:$K$35</c:f>
              <c:numCache>
                <c:formatCode>General</c:formatCode>
                <c:ptCount val="4"/>
                <c:pt idx="0">
                  <c:v>63</c:v>
                </c:pt>
                <c:pt idx="1">
                  <c:v>41</c:v>
                </c:pt>
                <c:pt idx="2">
                  <c:v>60</c:v>
                </c:pt>
                <c:pt idx="3">
                  <c:v>170</c:v>
                </c:pt>
              </c:numCache>
            </c:numRef>
          </c:val>
          <c:extLst>
            <c:ext xmlns:c16="http://schemas.microsoft.com/office/drawing/2014/chart" uri="{C3380CC4-5D6E-409C-BE32-E72D297353CC}">
              <c16:uniqueId val="{00000000-80E7-4784-96C0-405928322C9C}"/>
            </c:ext>
          </c:extLst>
        </c:ser>
        <c:ser>
          <c:idx val="1"/>
          <c:order val="1"/>
          <c:tx>
            <c:strRef>
              <c:f>'Pivot table'!$L$30</c:f>
              <c:strCache>
                <c:ptCount val="1"/>
                <c:pt idx="0">
                  <c:v>Sum of Solved Violations</c:v>
                </c:pt>
              </c:strCache>
            </c:strRef>
          </c:tx>
          <c:spPr>
            <a:solidFill>
              <a:schemeClr val="accent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7-80E7-4784-96C0-405928322C9C}"/>
              </c:ext>
            </c:extLst>
          </c:dPt>
          <c:dPt>
            <c:idx val="1"/>
            <c:invertIfNegative val="0"/>
            <c:bubble3D val="0"/>
            <c:spPr>
              <a:solidFill>
                <a:srgbClr val="FF0000"/>
              </a:solidFill>
              <a:ln>
                <a:noFill/>
              </a:ln>
              <a:effectLst/>
            </c:spPr>
            <c:extLst>
              <c:ext xmlns:c16="http://schemas.microsoft.com/office/drawing/2014/chart" uri="{C3380CC4-5D6E-409C-BE32-E72D297353CC}">
                <c16:uniqueId val="{00000006-80E7-4784-96C0-405928322C9C}"/>
              </c:ext>
            </c:extLst>
          </c:dPt>
          <c:dPt>
            <c:idx val="2"/>
            <c:invertIfNegative val="0"/>
            <c:bubble3D val="0"/>
            <c:spPr>
              <a:solidFill>
                <a:srgbClr val="FF0000"/>
              </a:solidFill>
              <a:ln>
                <a:noFill/>
              </a:ln>
              <a:effectLst/>
            </c:spPr>
            <c:extLst>
              <c:ext xmlns:c16="http://schemas.microsoft.com/office/drawing/2014/chart" uri="{C3380CC4-5D6E-409C-BE32-E72D297353CC}">
                <c16:uniqueId val="{00000005-80E7-4784-96C0-405928322C9C}"/>
              </c:ext>
            </c:extLst>
          </c:dPt>
          <c:dPt>
            <c:idx val="3"/>
            <c:invertIfNegative val="0"/>
            <c:bubble3D val="0"/>
            <c:spPr>
              <a:solidFill>
                <a:srgbClr val="FF0000"/>
              </a:solidFill>
              <a:ln>
                <a:noFill/>
              </a:ln>
              <a:effectLst/>
            </c:spPr>
            <c:extLst>
              <c:ext xmlns:c16="http://schemas.microsoft.com/office/drawing/2014/chart" uri="{C3380CC4-5D6E-409C-BE32-E72D297353CC}">
                <c16:uniqueId val="{00000004-80E7-4784-96C0-405928322C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table'!$J$31:$J$35</c:f>
              <c:strCache>
                <c:ptCount val="4"/>
                <c:pt idx="0">
                  <c:v>Compliant</c:v>
                </c:pt>
                <c:pt idx="1">
                  <c:v>Light Violation</c:v>
                </c:pt>
                <c:pt idx="2">
                  <c:v>Medium Violation</c:v>
                </c:pt>
                <c:pt idx="3">
                  <c:v>Severe Violation</c:v>
                </c:pt>
              </c:strCache>
            </c:strRef>
          </c:cat>
          <c:val>
            <c:numRef>
              <c:f>'Pivot table'!$L$31:$L$35</c:f>
              <c:numCache>
                <c:formatCode>General</c:formatCode>
                <c:ptCount val="4"/>
                <c:pt idx="0">
                  <c:v>74</c:v>
                </c:pt>
                <c:pt idx="1">
                  <c:v>77</c:v>
                </c:pt>
                <c:pt idx="2">
                  <c:v>81</c:v>
                </c:pt>
                <c:pt idx="3">
                  <c:v>341</c:v>
                </c:pt>
              </c:numCache>
            </c:numRef>
          </c:val>
          <c:extLst>
            <c:ext xmlns:c16="http://schemas.microsoft.com/office/drawing/2014/chart" uri="{C3380CC4-5D6E-409C-BE32-E72D297353CC}">
              <c16:uniqueId val="{00000001-80E7-4784-96C0-405928322C9C}"/>
            </c:ext>
          </c:extLst>
        </c:ser>
        <c:ser>
          <c:idx val="2"/>
          <c:order val="2"/>
          <c:tx>
            <c:strRef>
              <c:f>'Pivot table'!$M$30</c:f>
              <c:strCache>
                <c:ptCount val="1"/>
                <c:pt idx="0">
                  <c:v>Sum of Ignored Violations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table'!$J$31:$J$35</c:f>
              <c:strCache>
                <c:ptCount val="4"/>
                <c:pt idx="0">
                  <c:v>Compliant</c:v>
                </c:pt>
                <c:pt idx="1">
                  <c:v>Light Violation</c:v>
                </c:pt>
                <c:pt idx="2">
                  <c:v>Medium Violation</c:v>
                </c:pt>
                <c:pt idx="3">
                  <c:v>Severe Violation</c:v>
                </c:pt>
              </c:strCache>
            </c:strRef>
          </c:cat>
          <c:val>
            <c:numRef>
              <c:f>'Pivot table'!$M$31:$M$35</c:f>
              <c:numCache>
                <c:formatCode>General</c:formatCode>
                <c:ptCount val="4"/>
                <c:pt idx="0">
                  <c:v>49</c:v>
                </c:pt>
                <c:pt idx="1">
                  <c:v>41</c:v>
                </c:pt>
                <c:pt idx="2">
                  <c:v>44</c:v>
                </c:pt>
                <c:pt idx="3">
                  <c:v>154</c:v>
                </c:pt>
              </c:numCache>
            </c:numRef>
          </c:val>
          <c:extLst>
            <c:ext xmlns:c16="http://schemas.microsoft.com/office/drawing/2014/chart" uri="{C3380CC4-5D6E-409C-BE32-E72D297353CC}">
              <c16:uniqueId val="{00000002-80E7-4784-96C0-405928322C9C}"/>
            </c:ext>
          </c:extLst>
        </c:ser>
        <c:dLbls>
          <c:dLblPos val="outEnd"/>
          <c:showLegendKey val="0"/>
          <c:showVal val="1"/>
          <c:showCatName val="0"/>
          <c:showSerName val="0"/>
          <c:showPercent val="0"/>
          <c:showBubbleSize val="0"/>
        </c:dLbls>
        <c:gapWidth val="28"/>
        <c:overlap val="-11"/>
        <c:axId val="671972464"/>
        <c:axId val="671972944"/>
      </c:barChart>
      <c:catAx>
        <c:axId val="67197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72944"/>
        <c:crosses val="autoZero"/>
        <c:auto val="1"/>
        <c:lblAlgn val="ctr"/>
        <c:lblOffset val="100"/>
        <c:noMultiLvlLbl val="0"/>
      </c:catAx>
      <c:valAx>
        <c:axId val="671972944"/>
        <c:scaling>
          <c:orientation val="minMax"/>
        </c:scaling>
        <c:delete val="1"/>
        <c:axPos val="l"/>
        <c:numFmt formatCode="General" sourceLinked="1"/>
        <c:majorTickMark val="none"/>
        <c:minorTickMark val="none"/>
        <c:tickLblPos val="nextTo"/>
        <c:crossAx val="67197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(Recovered) (1).xlsx]Pivot table!PivotTable3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34320987654320989"/>
          <c:y val="0.53140096618357491"/>
          <c:w val="0.23950617283950618"/>
          <c:h val="0.46859903381642515"/>
        </c:manualLayout>
      </c:layout>
      <c:doughnutChart>
        <c:varyColors val="1"/>
        <c:ser>
          <c:idx val="0"/>
          <c:order val="0"/>
          <c:tx>
            <c:strRef>
              <c:f>'Pivot table'!$B$14</c:f>
              <c:strCache>
                <c:ptCount val="1"/>
                <c:pt idx="0">
                  <c:v>Total</c:v>
                </c:pt>
              </c:strCache>
            </c:strRef>
          </c:tx>
          <c:explosion val="24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18-4AAE-9D62-D70189493B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18-4AAE-9D62-D70189493B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18-4AAE-9D62-D70189493B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18-4AAE-9D62-D70189493B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18-4AAE-9D62-D70189493B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18-4AAE-9D62-D70189493B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18-4AAE-9D62-D70189493B0B}"/>
              </c:ext>
            </c:extLst>
          </c:dPt>
          <c:cat>
            <c:strRef>
              <c:f>'Pivot table'!$A$15:$A$21</c:f>
              <c:strCache>
                <c:ptCount val="7"/>
                <c:pt idx="0">
                  <c:v> Total Rules</c:v>
                </c:pt>
                <c:pt idx="1">
                  <c:v> Total Violations</c:v>
                </c:pt>
                <c:pt idx="2">
                  <c:v> Active Violations</c:v>
                </c:pt>
                <c:pt idx="3">
                  <c:v> Solved Violations</c:v>
                </c:pt>
                <c:pt idx="4">
                  <c:v> Ignored Violations</c:v>
                </c:pt>
                <c:pt idx="5">
                  <c:v> Environment Managed</c:v>
                </c:pt>
                <c:pt idx="6">
                  <c:v> Environment Disabled</c:v>
                </c:pt>
              </c:strCache>
            </c:strRef>
          </c:cat>
          <c:val>
            <c:numRef>
              <c:f>'Pivot table'!$B$15:$B$21</c:f>
              <c:numCache>
                <c:formatCode>General</c:formatCode>
                <c:ptCount val="7"/>
                <c:pt idx="0">
                  <c:v>740</c:v>
                </c:pt>
                <c:pt idx="1">
                  <c:v>1355</c:v>
                </c:pt>
                <c:pt idx="2">
                  <c:v>334</c:v>
                </c:pt>
                <c:pt idx="3">
                  <c:v>573</c:v>
                </c:pt>
                <c:pt idx="4">
                  <c:v>288</c:v>
                </c:pt>
                <c:pt idx="5">
                  <c:v>857</c:v>
                </c:pt>
                <c:pt idx="6">
                  <c:v>164</c:v>
                </c:pt>
              </c:numCache>
            </c:numRef>
          </c:val>
          <c:extLst>
            <c:ext xmlns:c16="http://schemas.microsoft.com/office/drawing/2014/chart" uri="{C3380CC4-5D6E-409C-BE32-E72D297353CC}">
              <c16:uniqueId val="{00000000-07BF-4696-9A13-812F7FC5744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svgsilh.com/image/1345887.html" TargetMode="External"/><Relationship Id="rId13" Type="http://schemas.openxmlformats.org/officeDocument/2006/relationships/chart" Target="../charts/chart2.xml"/><Relationship Id="rId18" Type="http://schemas.openxmlformats.org/officeDocument/2006/relationships/image" Target="../media/image8.png"/><Relationship Id="rId3" Type="http://schemas.openxmlformats.org/officeDocument/2006/relationships/hyperlink" Target="https://creativecommons.org/licenses/by-sa/3.0/" TargetMode="External"/><Relationship Id="rId21" Type="http://schemas.openxmlformats.org/officeDocument/2006/relationships/chart" Target="../charts/chart6.xml"/><Relationship Id="rId7" Type="http://schemas.openxmlformats.org/officeDocument/2006/relationships/image" Target="../media/image4.svg"/><Relationship Id="rId12" Type="http://schemas.openxmlformats.org/officeDocument/2006/relationships/chart" Target="../charts/chart1.xml"/><Relationship Id="rId17" Type="http://schemas.openxmlformats.org/officeDocument/2006/relationships/image" Target="../media/image7.png"/><Relationship Id="rId2" Type="http://schemas.openxmlformats.org/officeDocument/2006/relationships/hyperlink" Target="https://www.deviantart.com/ab-cs-center/art/Glossy-Traffic-Signal-Light-451056523" TargetMode="External"/><Relationship Id="rId16" Type="http://schemas.openxmlformats.org/officeDocument/2006/relationships/chart" Target="../charts/chart5.xml"/><Relationship Id="rId20" Type="http://schemas.openxmlformats.org/officeDocument/2006/relationships/hyperlink" Target="https://www.publicdomainpictures.net/en/view-image.php?image=133441&amp;picture=hanging-traffic-signals" TargetMode="External"/><Relationship Id="rId1" Type="http://schemas.openxmlformats.org/officeDocument/2006/relationships/image" Target="../media/image1.jpeg"/><Relationship Id="rId6" Type="http://schemas.openxmlformats.org/officeDocument/2006/relationships/image" Target="../media/image3.png"/><Relationship Id="rId11" Type="http://schemas.openxmlformats.org/officeDocument/2006/relationships/hyperlink" Target="https://svgsilh.com/image/24118.html" TargetMode="External"/><Relationship Id="rId24" Type="http://schemas.openxmlformats.org/officeDocument/2006/relationships/chart" Target="../charts/chart9.xml"/><Relationship Id="rId5" Type="http://schemas.openxmlformats.org/officeDocument/2006/relationships/hyperlink" Target="http://ux.stackexchange.com/questions/50990/open-signs-on-commercial-buildings-why-are-most-of-them-red" TargetMode="External"/><Relationship Id="rId15" Type="http://schemas.openxmlformats.org/officeDocument/2006/relationships/chart" Target="../charts/chart4.xml"/><Relationship Id="rId23" Type="http://schemas.openxmlformats.org/officeDocument/2006/relationships/chart" Target="../charts/chart8.xml"/><Relationship Id="rId10" Type="http://schemas.openxmlformats.org/officeDocument/2006/relationships/image" Target="../media/image6.svg"/><Relationship Id="rId19" Type="http://schemas.openxmlformats.org/officeDocument/2006/relationships/image" Target="../media/image9.jpg"/><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chart" Target="../charts/chart3.xml"/><Relationship Id="rId22"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96557</xdr:colOff>
      <xdr:row>0</xdr:row>
      <xdr:rowOff>21981</xdr:rowOff>
    </xdr:from>
    <xdr:to>
      <xdr:col>19</xdr:col>
      <xdr:colOff>564173</xdr:colOff>
      <xdr:row>64</xdr:row>
      <xdr:rowOff>14653</xdr:rowOff>
    </xdr:to>
    <xdr:sp macro="" textlink="">
      <xdr:nvSpPr>
        <xdr:cNvPr id="2" name="Rectangle: Rounded Corners 1">
          <a:extLst>
            <a:ext uri="{FF2B5EF4-FFF2-40B4-BE49-F238E27FC236}">
              <a16:creationId xmlns:a16="http://schemas.microsoft.com/office/drawing/2014/main" id="{978F97D3-8287-757B-9280-E5B806A7600A}"/>
            </a:ext>
          </a:extLst>
        </xdr:cNvPr>
        <xdr:cNvSpPr/>
      </xdr:nvSpPr>
      <xdr:spPr>
        <a:xfrm>
          <a:off x="96557" y="21981"/>
          <a:ext cx="12022174" cy="11715749"/>
        </a:xfrm>
        <a:prstGeom prst="roundRect">
          <a:avLst>
            <a:gd name="adj" fmla="val 0"/>
          </a:avLst>
        </a:prstGeom>
        <a:solidFill>
          <a:schemeClr val="bg2">
            <a:lumMod val="75000"/>
          </a:schemeClr>
        </a:solidFill>
        <a:ln>
          <a:noFill/>
        </a:ln>
        <a:effectLst>
          <a:outerShdw blurRad="50800" dist="38100" dir="5400000" sx="101000" sy="101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648000" rIns="648000" rtlCol="0" anchor="t">
          <a:scene3d>
            <a:camera prst="orthographicFront"/>
            <a:lightRig rig="threePt" dir="t"/>
          </a:scene3d>
          <a:sp3d extrusionH="57150">
            <a:bevelT w="38100" h="38100"/>
          </a:sp3d>
        </a:bodyPr>
        <a:lstStyle/>
        <a:p>
          <a:pPr algn="l"/>
          <a:endParaRPr lang="en-IN" sz="1100">
            <a:effectLst>
              <a:outerShdw blurRad="50800" dist="38100" dir="5400000" algn="t" rotWithShape="0">
                <a:prstClr val="black">
                  <a:alpha val="40000"/>
                </a:prstClr>
              </a:outerShdw>
            </a:effectLst>
          </a:endParaRPr>
        </a:p>
      </xdr:txBody>
    </xdr:sp>
    <xdr:clientData/>
  </xdr:twoCellAnchor>
  <xdr:twoCellAnchor>
    <xdr:from>
      <xdr:col>0</xdr:col>
      <xdr:colOff>167640</xdr:colOff>
      <xdr:row>0</xdr:row>
      <xdr:rowOff>144780</xdr:rowOff>
    </xdr:from>
    <xdr:to>
      <xdr:col>19</xdr:col>
      <xdr:colOff>304800</xdr:colOff>
      <xdr:row>5</xdr:row>
      <xdr:rowOff>22860</xdr:rowOff>
    </xdr:to>
    <xdr:sp macro="" textlink="">
      <xdr:nvSpPr>
        <xdr:cNvPr id="3" name="Rectangle: Rounded Corners 2">
          <a:extLst>
            <a:ext uri="{FF2B5EF4-FFF2-40B4-BE49-F238E27FC236}">
              <a16:creationId xmlns:a16="http://schemas.microsoft.com/office/drawing/2014/main" id="{1AD29A01-8D04-FD4C-7B66-454674B31584}"/>
            </a:ext>
          </a:extLst>
        </xdr:cNvPr>
        <xdr:cNvSpPr/>
      </xdr:nvSpPr>
      <xdr:spPr>
        <a:xfrm>
          <a:off x="167640" y="144780"/>
          <a:ext cx="11719560" cy="79248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195628</xdr:colOff>
      <xdr:row>5</xdr:row>
      <xdr:rowOff>54835</xdr:rowOff>
    </xdr:from>
    <xdr:to>
      <xdr:col>4</xdr:col>
      <xdr:colOff>206524</xdr:colOff>
      <xdr:row>12</xdr:row>
      <xdr:rowOff>78335</xdr:rowOff>
    </xdr:to>
    <xdr:sp macro="" textlink="'Pivot table'!B24">
      <xdr:nvSpPr>
        <xdr:cNvPr id="4" name="Rectangle: Rounded Corners 3">
          <a:extLst>
            <a:ext uri="{FF2B5EF4-FFF2-40B4-BE49-F238E27FC236}">
              <a16:creationId xmlns:a16="http://schemas.microsoft.com/office/drawing/2014/main" id="{67FA6DBE-9E09-4F8E-A3F1-452B4BB9FA48}"/>
            </a:ext>
          </a:extLst>
        </xdr:cNvPr>
        <xdr:cNvSpPr/>
      </xdr:nvSpPr>
      <xdr:spPr>
        <a:xfrm>
          <a:off x="195628" y="980629"/>
          <a:ext cx="2460690" cy="1319613"/>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CBE21B8-EF3C-4714-B09C-6C01C47282B8}" type="TxLink">
            <a:rPr lang="en-US" sz="1100" b="0" i="0" u="none" strike="noStrike">
              <a:solidFill>
                <a:schemeClr val="accent2">
                  <a:lumMod val="60000"/>
                  <a:lumOff val="40000"/>
                </a:schemeClr>
              </a:solidFill>
              <a:latin typeface="Aptos Narrow"/>
            </a:rPr>
            <a:pPr algn="l"/>
            <a:t>2307</a:t>
          </a:fld>
          <a:endParaRPr lang="en-IN" sz="1100">
            <a:solidFill>
              <a:schemeClr val="accent2">
                <a:lumMod val="60000"/>
                <a:lumOff val="40000"/>
              </a:schemeClr>
            </a:solidFill>
          </a:endParaRPr>
        </a:p>
      </xdr:txBody>
    </xdr:sp>
    <xdr:clientData/>
  </xdr:twoCellAnchor>
  <xdr:twoCellAnchor>
    <xdr:from>
      <xdr:col>4</xdr:col>
      <xdr:colOff>307456</xdr:colOff>
      <xdr:row>5</xdr:row>
      <xdr:rowOff>91557</xdr:rowOff>
    </xdr:from>
    <xdr:to>
      <xdr:col>8</xdr:col>
      <xdr:colOff>212480</xdr:colOff>
      <xdr:row>12</xdr:row>
      <xdr:rowOff>102577</xdr:rowOff>
    </xdr:to>
    <xdr:sp macro="" textlink="'Pivot table'!B26">
      <xdr:nvSpPr>
        <xdr:cNvPr id="5" name="Rectangle: Rounded Corners 4">
          <a:extLst>
            <a:ext uri="{FF2B5EF4-FFF2-40B4-BE49-F238E27FC236}">
              <a16:creationId xmlns:a16="http://schemas.microsoft.com/office/drawing/2014/main" id="{085541B8-A402-46FD-A889-00D2C7B34950}"/>
            </a:ext>
          </a:extLst>
        </xdr:cNvPr>
        <xdr:cNvSpPr/>
      </xdr:nvSpPr>
      <xdr:spPr>
        <a:xfrm>
          <a:off x="2739994" y="1007422"/>
          <a:ext cx="2337563" cy="129323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5852D5-B80D-4C3B-A8B8-E7DA9B95F4A8}" type="TxLink">
            <a:rPr lang="en-US" sz="1100" b="0" i="0" u="none" strike="noStrike">
              <a:solidFill>
                <a:srgbClr val="000000"/>
              </a:solidFill>
              <a:latin typeface="Aptos Narrow"/>
            </a:rPr>
            <a:pPr algn="l"/>
            <a:t>1041</a:t>
          </a:fld>
          <a:endParaRPr lang="en-IN" sz="1100"/>
        </a:p>
      </xdr:txBody>
    </xdr:sp>
    <xdr:clientData/>
  </xdr:twoCellAnchor>
  <xdr:twoCellAnchor>
    <xdr:from>
      <xdr:col>8</xdr:col>
      <xdr:colOff>266576</xdr:colOff>
      <xdr:row>5</xdr:row>
      <xdr:rowOff>91733</xdr:rowOff>
    </xdr:from>
    <xdr:to>
      <xdr:col>12</xdr:col>
      <xdr:colOff>522950</xdr:colOff>
      <xdr:row>12</xdr:row>
      <xdr:rowOff>85252</xdr:rowOff>
    </xdr:to>
    <xdr:sp macro="" textlink="'Pivot table'!A1">
      <xdr:nvSpPr>
        <xdr:cNvPr id="6" name="Rectangle: Rounded Corners 5">
          <a:extLst>
            <a:ext uri="{FF2B5EF4-FFF2-40B4-BE49-F238E27FC236}">
              <a16:creationId xmlns:a16="http://schemas.microsoft.com/office/drawing/2014/main" id="{5022F9E6-8E8B-4888-A631-2068A3F60128}"/>
            </a:ext>
          </a:extLst>
        </xdr:cNvPr>
        <xdr:cNvSpPr/>
      </xdr:nvSpPr>
      <xdr:spPr>
        <a:xfrm>
          <a:off x="5131653" y="1007598"/>
          <a:ext cx="2688912" cy="1275731"/>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C9A5681-2844-4CB4-BAC4-1FBDA56C6F3B}" type="TxLink">
            <a:rPr lang="en-US" sz="1100" b="0" i="0" u="none" strike="noStrike">
              <a:solidFill>
                <a:srgbClr val="000000"/>
              </a:solidFill>
              <a:latin typeface="Aptos Narrow"/>
            </a:rPr>
            <a:pPr algn="l"/>
            <a:t>720</a:t>
          </a:fld>
          <a:endParaRPr lang="en-IN" sz="1100"/>
        </a:p>
      </xdr:txBody>
    </xdr:sp>
    <xdr:clientData/>
  </xdr:twoCellAnchor>
  <xdr:twoCellAnchor>
    <xdr:from>
      <xdr:col>12</xdr:col>
      <xdr:colOff>601493</xdr:colOff>
      <xdr:row>5</xdr:row>
      <xdr:rowOff>98356</xdr:rowOff>
    </xdr:from>
    <xdr:to>
      <xdr:col>17</xdr:col>
      <xdr:colOff>181325</xdr:colOff>
      <xdr:row>12</xdr:row>
      <xdr:rowOff>85253</xdr:rowOff>
    </xdr:to>
    <xdr:sp macro="" textlink="'Pivot table'!B27">
      <xdr:nvSpPr>
        <xdr:cNvPr id="7" name="Rectangle: Rounded Corners 6">
          <a:extLst>
            <a:ext uri="{FF2B5EF4-FFF2-40B4-BE49-F238E27FC236}">
              <a16:creationId xmlns:a16="http://schemas.microsoft.com/office/drawing/2014/main" id="{6FF60F24-3417-40E1-B0A4-0B39CA09BBFD}"/>
            </a:ext>
          </a:extLst>
        </xdr:cNvPr>
        <xdr:cNvSpPr/>
      </xdr:nvSpPr>
      <xdr:spPr>
        <a:xfrm>
          <a:off x="7899108" y="1014221"/>
          <a:ext cx="2620505" cy="126910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F6A3322-6AB3-4D1B-A7B4-401B7B37E4E1}" type="TxLink">
            <a:rPr lang="en-US" sz="1100" b="0" i="0" u="none" strike="noStrike">
              <a:solidFill>
                <a:srgbClr val="000000"/>
              </a:solidFill>
              <a:latin typeface="Aptos Narrow"/>
            </a:rPr>
            <a:pPr algn="l"/>
            <a:t>531</a:t>
          </a:fld>
          <a:endParaRPr lang="en-IN" sz="1100"/>
        </a:p>
      </xdr:txBody>
    </xdr:sp>
    <xdr:clientData/>
  </xdr:twoCellAnchor>
  <xdr:twoCellAnchor>
    <xdr:from>
      <xdr:col>0</xdr:col>
      <xdr:colOff>9607</xdr:colOff>
      <xdr:row>12</xdr:row>
      <xdr:rowOff>153134</xdr:rowOff>
    </xdr:from>
    <xdr:to>
      <xdr:col>7</xdr:col>
      <xdr:colOff>48522</xdr:colOff>
      <xdr:row>38</xdr:row>
      <xdr:rowOff>169944</xdr:rowOff>
    </xdr:to>
    <xdr:sp macro="" textlink="">
      <xdr:nvSpPr>
        <xdr:cNvPr id="8" name="Rectangle: Rounded Corners 7">
          <a:extLst>
            <a:ext uri="{FF2B5EF4-FFF2-40B4-BE49-F238E27FC236}">
              <a16:creationId xmlns:a16="http://schemas.microsoft.com/office/drawing/2014/main" id="{7EE6A026-A317-3A86-A8C7-57E3DC4BADB6}"/>
            </a:ext>
          </a:extLst>
        </xdr:cNvPr>
        <xdr:cNvSpPr/>
      </xdr:nvSpPr>
      <xdr:spPr>
        <a:xfrm>
          <a:off x="9607" y="2379499"/>
          <a:ext cx="4306115" cy="4840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1526</a:t>
          </a:r>
        </a:p>
      </xdr:txBody>
    </xdr:sp>
    <xdr:clientData/>
  </xdr:twoCellAnchor>
  <xdr:twoCellAnchor>
    <xdr:from>
      <xdr:col>7</xdr:col>
      <xdr:colOff>172669</xdr:colOff>
      <xdr:row>12</xdr:row>
      <xdr:rowOff>171371</xdr:rowOff>
    </xdr:from>
    <xdr:to>
      <xdr:col>13</xdr:col>
      <xdr:colOff>129940</xdr:colOff>
      <xdr:row>28</xdr:row>
      <xdr:rowOff>157705</xdr:rowOff>
    </xdr:to>
    <xdr:sp macro="" textlink="">
      <xdr:nvSpPr>
        <xdr:cNvPr id="9" name="Rectangle: Rounded Corners 8">
          <a:extLst>
            <a:ext uri="{FF2B5EF4-FFF2-40B4-BE49-F238E27FC236}">
              <a16:creationId xmlns:a16="http://schemas.microsoft.com/office/drawing/2014/main" id="{940CDFFF-36F5-4A6B-82C7-87D287525100}"/>
            </a:ext>
          </a:extLst>
        </xdr:cNvPr>
        <xdr:cNvSpPr/>
      </xdr:nvSpPr>
      <xdr:spPr>
        <a:xfrm>
          <a:off x="4429611" y="2369448"/>
          <a:ext cx="3606079" cy="291710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197294</xdr:colOff>
      <xdr:row>12</xdr:row>
      <xdr:rowOff>162878</xdr:rowOff>
    </xdr:from>
    <xdr:to>
      <xdr:col>19</xdr:col>
      <xdr:colOff>457014</xdr:colOff>
      <xdr:row>29</xdr:row>
      <xdr:rowOff>5264</xdr:rowOff>
    </xdr:to>
    <xdr:sp macro="" textlink="">
      <xdr:nvSpPr>
        <xdr:cNvPr id="11" name="Rectangle: Rounded Corners 10">
          <a:extLst>
            <a:ext uri="{FF2B5EF4-FFF2-40B4-BE49-F238E27FC236}">
              <a16:creationId xmlns:a16="http://schemas.microsoft.com/office/drawing/2014/main" id="{CE5CA4B9-41BF-4C77-85F4-5F1E15162F28}"/>
            </a:ext>
          </a:extLst>
        </xdr:cNvPr>
        <xdr:cNvSpPr/>
      </xdr:nvSpPr>
      <xdr:spPr>
        <a:xfrm>
          <a:off x="8093381" y="2415748"/>
          <a:ext cx="3904068" cy="30339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548640</xdr:colOff>
      <xdr:row>1</xdr:row>
      <xdr:rowOff>15240</xdr:rowOff>
    </xdr:from>
    <xdr:to>
      <xdr:col>3</xdr:col>
      <xdr:colOff>297180</xdr:colOff>
      <xdr:row>4</xdr:row>
      <xdr:rowOff>144780</xdr:rowOff>
    </xdr:to>
    <xdr:pic>
      <xdr:nvPicPr>
        <xdr:cNvPr id="13" name="Picture 12">
          <a:extLst>
            <a:ext uri="{FF2B5EF4-FFF2-40B4-BE49-F238E27FC236}">
              <a16:creationId xmlns:a16="http://schemas.microsoft.com/office/drawing/2014/main" id="{4DD7C054-D12F-3A19-90D5-D1DFA3476C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548640" y="198120"/>
          <a:ext cx="1577340" cy="678180"/>
        </a:xfrm>
        <a:prstGeom prst="rect">
          <a:avLst/>
        </a:prstGeom>
      </xdr:spPr>
    </xdr:pic>
    <xdr:clientData/>
  </xdr:twoCellAnchor>
  <xdr:oneCellAnchor>
    <xdr:from>
      <xdr:col>0</xdr:col>
      <xdr:colOff>548640</xdr:colOff>
      <xdr:row>28</xdr:row>
      <xdr:rowOff>22459</xdr:rowOff>
    </xdr:from>
    <xdr:ext cx="1577340" cy="45719"/>
    <xdr:sp macro="" textlink="">
      <xdr:nvSpPr>
        <xdr:cNvPr id="14" name="TextBox 13">
          <a:extLst>
            <a:ext uri="{FF2B5EF4-FFF2-40B4-BE49-F238E27FC236}">
              <a16:creationId xmlns:a16="http://schemas.microsoft.com/office/drawing/2014/main" id="{C4ED2217-9684-E51C-BA54-AC7A21A51867}"/>
            </a:ext>
          </a:extLst>
        </xdr:cNvPr>
        <xdr:cNvSpPr txBox="1"/>
      </xdr:nvSpPr>
      <xdr:spPr>
        <a:xfrm>
          <a:off x="548640" y="5143099"/>
          <a:ext cx="157734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2" tooltip="https://www.deviantart.com/ab-cs-center/art/Glossy-Traffic-Signal-Light-451056523"/>
            </a:rPr>
            <a:t>This Photo</a:t>
          </a:r>
          <a:r>
            <a:rPr lang="en-IN" sz="900"/>
            <a:t> by Unknown Author is licensed under </a:t>
          </a:r>
          <a:r>
            <a:rPr lang="en-IN" sz="900">
              <a:hlinkClick xmlns:r="http://schemas.openxmlformats.org/officeDocument/2006/relationships" r:id="rId3" tooltip="https://creativecommons.org/licenses/by-sa/3.0/"/>
            </a:rPr>
            <a:t>CC BY-SA</a:t>
          </a:r>
          <a:endParaRPr lang="en-IN" sz="900"/>
        </a:p>
      </xdr:txBody>
    </xdr:sp>
    <xdr:clientData/>
  </xdr:oneCellAnchor>
  <xdr:twoCellAnchor editAs="oneCell">
    <xdr:from>
      <xdr:col>3</xdr:col>
      <xdr:colOff>419100</xdr:colOff>
      <xdr:row>0</xdr:row>
      <xdr:rowOff>175261</xdr:rowOff>
    </xdr:from>
    <xdr:to>
      <xdr:col>4</xdr:col>
      <xdr:colOff>529500</xdr:colOff>
      <xdr:row>4</xdr:row>
      <xdr:rowOff>165150</xdr:rowOff>
    </xdr:to>
    <xdr:pic>
      <xdr:nvPicPr>
        <xdr:cNvPr id="16" name="Picture 15">
          <a:extLst>
            <a:ext uri="{FF2B5EF4-FFF2-40B4-BE49-F238E27FC236}">
              <a16:creationId xmlns:a16="http://schemas.microsoft.com/office/drawing/2014/main" id="{E4A94A27-0117-8594-E0C7-1AE0375623E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2247900" y="175261"/>
          <a:ext cx="720000" cy="721409"/>
        </a:xfrm>
        <a:prstGeom prst="rect">
          <a:avLst/>
        </a:prstGeom>
      </xdr:spPr>
    </xdr:pic>
    <xdr:clientData/>
  </xdr:twoCellAnchor>
  <xdr:oneCellAnchor>
    <xdr:from>
      <xdr:col>3</xdr:col>
      <xdr:colOff>419100</xdr:colOff>
      <xdr:row>43</xdr:row>
      <xdr:rowOff>99030</xdr:rowOff>
    </xdr:from>
    <xdr:ext cx="720000" cy="233205"/>
    <xdr:sp macro="" textlink="">
      <xdr:nvSpPr>
        <xdr:cNvPr id="17" name="TextBox 16">
          <a:extLst>
            <a:ext uri="{FF2B5EF4-FFF2-40B4-BE49-F238E27FC236}">
              <a16:creationId xmlns:a16="http://schemas.microsoft.com/office/drawing/2014/main" id="{D8B561F4-7BCB-89F6-E56C-574AE443A2CA}"/>
            </a:ext>
          </a:extLst>
        </xdr:cNvPr>
        <xdr:cNvSpPr txBox="1"/>
      </xdr:nvSpPr>
      <xdr:spPr>
        <a:xfrm>
          <a:off x="2247900" y="7962870"/>
          <a:ext cx="720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5" tooltip="http://ux.stackexchange.com/questions/50990/open-signs-on-commercial-buildings-why-are-most-of-them-red"/>
            </a:rPr>
            <a:t>This Photo</a:t>
          </a:r>
          <a:r>
            <a:rPr lang="en-IN" sz="900"/>
            <a:t> by Unknown Author is licensed under </a:t>
          </a:r>
          <a:r>
            <a:rPr lang="en-IN" sz="900">
              <a:hlinkClick xmlns:r="http://schemas.openxmlformats.org/officeDocument/2006/relationships" r:id="rId3" tooltip="https://creativecommons.org/licenses/by-sa/3.0/"/>
            </a:rPr>
            <a:t>CC BY-SA</a:t>
          </a:r>
          <a:endParaRPr lang="en-IN" sz="900"/>
        </a:p>
      </xdr:txBody>
    </xdr:sp>
    <xdr:clientData/>
  </xdr:oneCellAnchor>
  <xdr:twoCellAnchor>
    <xdr:from>
      <xdr:col>5</xdr:col>
      <xdr:colOff>106680</xdr:colOff>
      <xdr:row>1</xdr:row>
      <xdr:rowOff>45720</xdr:rowOff>
    </xdr:from>
    <xdr:to>
      <xdr:col>16</xdr:col>
      <xdr:colOff>365760</xdr:colOff>
      <xdr:row>4</xdr:row>
      <xdr:rowOff>129540</xdr:rowOff>
    </xdr:to>
    <xdr:sp macro="" textlink="">
      <xdr:nvSpPr>
        <xdr:cNvPr id="19" name="TextBox 18">
          <a:extLst>
            <a:ext uri="{FF2B5EF4-FFF2-40B4-BE49-F238E27FC236}">
              <a16:creationId xmlns:a16="http://schemas.microsoft.com/office/drawing/2014/main" id="{361A4B83-4A66-5CC7-C0FF-D91AFBEB4B89}"/>
            </a:ext>
          </a:extLst>
        </xdr:cNvPr>
        <xdr:cNvSpPr txBox="1"/>
      </xdr:nvSpPr>
      <xdr:spPr>
        <a:xfrm>
          <a:off x="3154680" y="228600"/>
          <a:ext cx="6964680" cy="6324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i="0" baseline="0"/>
            <a:t>Traffic Violation and Compliance Dashboard</a:t>
          </a:r>
        </a:p>
      </xdr:txBody>
    </xdr:sp>
    <xdr:clientData/>
  </xdr:twoCellAnchor>
  <xdr:twoCellAnchor editAs="oneCell">
    <xdr:from>
      <xdr:col>17</xdr:col>
      <xdr:colOff>38100</xdr:colOff>
      <xdr:row>1</xdr:row>
      <xdr:rowOff>22860</xdr:rowOff>
    </xdr:from>
    <xdr:to>
      <xdr:col>18</xdr:col>
      <xdr:colOff>148500</xdr:colOff>
      <xdr:row>4</xdr:row>
      <xdr:rowOff>42728</xdr:rowOff>
    </xdr:to>
    <xdr:pic>
      <xdr:nvPicPr>
        <xdr:cNvPr id="21" name="Graphic 20">
          <a:extLst>
            <a:ext uri="{FF2B5EF4-FFF2-40B4-BE49-F238E27FC236}">
              <a16:creationId xmlns:a16="http://schemas.microsoft.com/office/drawing/2014/main" id="{6E22FCB8-04CC-B2C5-0738-FA5F30D96BC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 uri="{837473B0-CC2E-450A-ABE3-18F120FF3D39}">
              <a1611:picAttrSrcUrl xmlns:a1611="http://schemas.microsoft.com/office/drawing/2016/11/main" r:id="rId8"/>
            </a:ext>
          </a:extLst>
        </a:blip>
        <a:stretch>
          <a:fillRect/>
        </a:stretch>
      </xdr:blipFill>
      <xdr:spPr>
        <a:xfrm>
          <a:off x="10449726" y="208019"/>
          <a:ext cx="722849" cy="575345"/>
        </a:xfrm>
        <a:prstGeom prst="rect">
          <a:avLst/>
        </a:prstGeom>
      </xdr:spPr>
    </xdr:pic>
    <xdr:clientData/>
  </xdr:twoCellAnchor>
  <xdr:twoCellAnchor>
    <xdr:from>
      <xdr:col>2</xdr:col>
      <xdr:colOff>185160</xdr:colOff>
      <xdr:row>5</xdr:row>
      <xdr:rowOff>71215</xdr:rowOff>
    </xdr:from>
    <xdr:to>
      <xdr:col>3</xdr:col>
      <xdr:colOff>583962</xdr:colOff>
      <xdr:row>6</xdr:row>
      <xdr:rowOff>135309</xdr:rowOff>
    </xdr:to>
    <xdr:sp macro="" textlink="">
      <xdr:nvSpPr>
        <xdr:cNvPr id="22" name="TextBox 21">
          <a:extLst>
            <a:ext uri="{FF2B5EF4-FFF2-40B4-BE49-F238E27FC236}">
              <a16:creationId xmlns:a16="http://schemas.microsoft.com/office/drawing/2014/main" id="{4B7B0B1D-A781-DEDC-CCCC-3F382AC13BC3}"/>
            </a:ext>
          </a:extLst>
        </xdr:cNvPr>
        <xdr:cNvSpPr txBox="1"/>
      </xdr:nvSpPr>
      <xdr:spPr>
        <a:xfrm>
          <a:off x="1410057" y="997009"/>
          <a:ext cx="1011251" cy="249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latin typeface="Arial Black" panose="020B0A04020102020204" pitchFamily="34" charset="0"/>
            </a:rPr>
            <a:t>Total violation</a:t>
          </a:r>
        </a:p>
      </xdr:txBody>
    </xdr:sp>
    <xdr:clientData/>
  </xdr:twoCellAnchor>
  <xdr:twoCellAnchor>
    <xdr:from>
      <xdr:col>5</xdr:col>
      <xdr:colOff>288508</xdr:colOff>
      <xdr:row>16</xdr:row>
      <xdr:rowOff>168519</xdr:rowOff>
    </xdr:from>
    <xdr:to>
      <xdr:col>6</xdr:col>
      <xdr:colOff>124715</xdr:colOff>
      <xdr:row>18</xdr:row>
      <xdr:rowOff>14654</xdr:rowOff>
    </xdr:to>
    <xdr:sp macro="" textlink="'Pivot table'!B21">
      <xdr:nvSpPr>
        <xdr:cNvPr id="15" name="TextBox 14">
          <a:extLst>
            <a:ext uri="{FF2B5EF4-FFF2-40B4-BE49-F238E27FC236}">
              <a16:creationId xmlns:a16="http://schemas.microsoft.com/office/drawing/2014/main" id="{46DF655E-4DE8-4DC2-B9A7-85F1234319DC}"/>
            </a:ext>
          </a:extLst>
        </xdr:cNvPr>
        <xdr:cNvSpPr txBox="1"/>
      </xdr:nvSpPr>
      <xdr:spPr>
        <a:xfrm>
          <a:off x="3329181" y="3099288"/>
          <a:ext cx="444342" cy="2124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67D5C0-5DCC-4310-89A1-7DF6CAF41972}" type="TxLink">
            <a:rPr lang="en-US" sz="1100" b="0" i="0" u="none" strike="noStrike">
              <a:solidFill>
                <a:srgbClr val="000000"/>
              </a:solidFill>
              <a:latin typeface="Aptos Narrow"/>
            </a:rPr>
            <a:pPr/>
            <a:t>164</a:t>
          </a:fld>
          <a:endParaRPr lang="en-IN" sz="1100" b="1"/>
        </a:p>
      </xdr:txBody>
    </xdr:sp>
    <xdr:clientData/>
  </xdr:twoCellAnchor>
  <xdr:twoCellAnchor>
    <xdr:from>
      <xdr:col>2</xdr:col>
      <xdr:colOff>531230</xdr:colOff>
      <xdr:row>16</xdr:row>
      <xdr:rowOff>168372</xdr:rowOff>
    </xdr:from>
    <xdr:to>
      <xdr:col>3</xdr:col>
      <xdr:colOff>407704</xdr:colOff>
      <xdr:row>18</xdr:row>
      <xdr:rowOff>43962</xdr:rowOff>
    </xdr:to>
    <xdr:sp macro="" textlink="'Pivot table'!B28">
      <xdr:nvSpPr>
        <xdr:cNvPr id="18" name="TextBox 17">
          <a:extLst>
            <a:ext uri="{FF2B5EF4-FFF2-40B4-BE49-F238E27FC236}">
              <a16:creationId xmlns:a16="http://schemas.microsoft.com/office/drawing/2014/main" id="{6B903605-B3AD-F3BF-9528-0E39566F00EA}"/>
            </a:ext>
          </a:extLst>
        </xdr:cNvPr>
        <xdr:cNvSpPr txBox="1"/>
      </xdr:nvSpPr>
      <xdr:spPr>
        <a:xfrm rot="10800000" flipV="1">
          <a:off x="1747499" y="3099141"/>
          <a:ext cx="484609" cy="2419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C69B30-D2C4-4CF3-BCB6-CF37197A03B1}" type="TxLink">
            <a:rPr lang="en-US" sz="1100" b="0" i="0" u="none" strike="noStrike">
              <a:solidFill>
                <a:srgbClr val="000000"/>
              </a:solidFill>
              <a:latin typeface="Aptos Narrow"/>
            </a:rPr>
            <a:pPr/>
            <a:t>1526</a:t>
          </a:fld>
          <a:endParaRPr lang="en-IN" sz="1100"/>
        </a:p>
      </xdr:txBody>
    </xdr:sp>
    <xdr:clientData/>
  </xdr:twoCellAnchor>
  <xdr:twoCellAnchor>
    <xdr:from>
      <xdr:col>2</xdr:col>
      <xdr:colOff>111909</xdr:colOff>
      <xdr:row>13</xdr:row>
      <xdr:rowOff>593</xdr:rowOff>
    </xdr:from>
    <xdr:to>
      <xdr:col>5</xdr:col>
      <xdr:colOff>145142</xdr:colOff>
      <xdr:row>14</xdr:row>
      <xdr:rowOff>90713</xdr:rowOff>
    </xdr:to>
    <xdr:sp macro="" textlink="">
      <xdr:nvSpPr>
        <xdr:cNvPr id="20" name="TextBox 19">
          <a:extLst>
            <a:ext uri="{FF2B5EF4-FFF2-40B4-BE49-F238E27FC236}">
              <a16:creationId xmlns:a16="http://schemas.microsoft.com/office/drawing/2014/main" id="{F800B519-DD49-CCDD-BD5C-033EE430C56A}"/>
            </a:ext>
          </a:extLst>
        </xdr:cNvPr>
        <xdr:cNvSpPr txBox="1"/>
      </xdr:nvSpPr>
      <xdr:spPr>
        <a:xfrm>
          <a:off x="1327480" y="2359164"/>
          <a:ext cx="1856591" cy="271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Britannic Bold" panose="020B0903060703020204" pitchFamily="34" charset="0"/>
              <a:ea typeface="Calibri" panose="020F0502020204030204" pitchFamily="34" charset="0"/>
              <a:cs typeface="Calibri" panose="020F0502020204030204" pitchFamily="34" charset="0"/>
            </a:rPr>
            <a:t>Overview Summary</a:t>
          </a:r>
        </a:p>
      </xdr:txBody>
    </xdr:sp>
    <xdr:clientData/>
  </xdr:twoCellAnchor>
  <xdr:twoCellAnchor editAs="oneCell">
    <xdr:from>
      <xdr:col>0</xdr:col>
      <xdr:colOff>164343</xdr:colOff>
      <xdr:row>16</xdr:row>
      <xdr:rowOff>49766</xdr:rowOff>
    </xdr:from>
    <xdr:to>
      <xdr:col>1</xdr:col>
      <xdr:colOff>157010</xdr:colOff>
      <xdr:row>19</xdr:row>
      <xdr:rowOff>90713</xdr:rowOff>
    </xdr:to>
    <xdr:pic>
      <xdr:nvPicPr>
        <xdr:cNvPr id="26" name="Graphic 25">
          <a:extLst>
            <a:ext uri="{FF2B5EF4-FFF2-40B4-BE49-F238E27FC236}">
              <a16:creationId xmlns:a16="http://schemas.microsoft.com/office/drawing/2014/main" id="{D9B7FD7D-A45B-B2F6-ACFE-8C0972DE112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 uri="{837473B0-CC2E-450A-ABE3-18F120FF3D39}">
              <a1611:picAttrSrcUrl xmlns:a1611="http://schemas.microsoft.com/office/drawing/2016/11/main" r:id="rId11"/>
            </a:ext>
          </a:extLst>
        </a:blip>
        <a:stretch>
          <a:fillRect/>
        </a:stretch>
      </xdr:blipFill>
      <xdr:spPr>
        <a:xfrm>
          <a:off x="164343" y="2952623"/>
          <a:ext cx="600453" cy="585233"/>
        </a:xfrm>
        <a:prstGeom prst="rect">
          <a:avLst/>
        </a:prstGeom>
      </xdr:spPr>
    </xdr:pic>
    <xdr:clientData/>
  </xdr:twoCellAnchor>
  <xdr:twoCellAnchor>
    <xdr:from>
      <xdr:col>1</xdr:col>
      <xdr:colOff>261036</xdr:colOff>
      <xdr:row>15</xdr:row>
      <xdr:rowOff>35523</xdr:rowOff>
    </xdr:from>
    <xdr:to>
      <xdr:col>2</xdr:col>
      <xdr:colOff>602868</xdr:colOff>
      <xdr:row>16</xdr:row>
      <xdr:rowOff>88765</xdr:rowOff>
    </xdr:to>
    <xdr:sp macro="" textlink="">
      <xdr:nvSpPr>
        <xdr:cNvPr id="27" name="TextBox 26">
          <a:extLst>
            <a:ext uri="{FF2B5EF4-FFF2-40B4-BE49-F238E27FC236}">
              <a16:creationId xmlns:a16="http://schemas.microsoft.com/office/drawing/2014/main" id="{9758B791-0243-54CA-9F5A-8BCBD603904C}"/>
            </a:ext>
          </a:extLst>
        </xdr:cNvPr>
        <xdr:cNvSpPr txBox="1"/>
      </xdr:nvSpPr>
      <xdr:spPr>
        <a:xfrm>
          <a:off x="868822" y="2756952"/>
          <a:ext cx="949617" cy="2346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Environment</a:t>
          </a:r>
        </a:p>
      </xdr:txBody>
    </xdr:sp>
    <xdr:clientData/>
  </xdr:twoCellAnchor>
  <xdr:twoCellAnchor>
    <xdr:from>
      <xdr:col>4</xdr:col>
      <xdr:colOff>103599</xdr:colOff>
      <xdr:row>16</xdr:row>
      <xdr:rowOff>143110</xdr:rowOff>
    </xdr:from>
    <xdr:to>
      <xdr:col>5</xdr:col>
      <xdr:colOff>217544</xdr:colOff>
      <xdr:row>18</xdr:row>
      <xdr:rowOff>58616</xdr:rowOff>
    </xdr:to>
    <xdr:sp macro="" textlink="">
      <xdr:nvSpPr>
        <xdr:cNvPr id="29" name="TextBox 28">
          <a:extLst>
            <a:ext uri="{FF2B5EF4-FFF2-40B4-BE49-F238E27FC236}">
              <a16:creationId xmlns:a16="http://schemas.microsoft.com/office/drawing/2014/main" id="{1C753E53-0EEF-4A7E-9F84-96CB8CCA7EF7}"/>
            </a:ext>
          </a:extLst>
        </xdr:cNvPr>
        <xdr:cNvSpPr txBox="1"/>
      </xdr:nvSpPr>
      <xdr:spPr>
        <a:xfrm>
          <a:off x="2536137" y="3073879"/>
          <a:ext cx="722080" cy="2818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Disabled:</a:t>
          </a:r>
        </a:p>
      </xdr:txBody>
    </xdr:sp>
    <xdr:clientData/>
  </xdr:twoCellAnchor>
  <xdr:twoCellAnchor>
    <xdr:from>
      <xdr:col>5</xdr:col>
      <xdr:colOff>327590</xdr:colOff>
      <xdr:row>5</xdr:row>
      <xdr:rowOff>106017</xdr:rowOff>
    </xdr:from>
    <xdr:to>
      <xdr:col>8</xdr:col>
      <xdr:colOff>39758</xdr:colOff>
      <xdr:row>6</xdr:row>
      <xdr:rowOff>128187</xdr:rowOff>
    </xdr:to>
    <xdr:sp macro="" textlink="">
      <xdr:nvSpPr>
        <xdr:cNvPr id="32" name="TextBox 31">
          <a:extLst>
            <a:ext uri="{FF2B5EF4-FFF2-40B4-BE49-F238E27FC236}">
              <a16:creationId xmlns:a16="http://schemas.microsoft.com/office/drawing/2014/main" id="{DD45A870-2336-133A-37E5-184729570921}"/>
            </a:ext>
          </a:extLst>
        </xdr:cNvPr>
        <xdr:cNvSpPr txBox="1"/>
      </xdr:nvSpPr>
      <xdr:spPr>
        <a:xfrm>
          <a:off x="3375590" y="1033669"/>
          <a:ext cx="1540968" cy="207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Solved</a:t>
          </a:r>
          <a:r>
            <a:rPr lang="en-IN" sz="1100" baseline="0">
              <a:latin typeface="Arial Black" panose="020B0A04020102020204" pitchFamily="34" charset="0"/>
            </a:rPr>
            <a:t> violation</a:t>
          </a:r>
          <a:endParaRPr lang="en-IN" sz="1100">
            <a:latin typeface="Arial Black" panose="020B0A04020102020204" pitchFamily="34" charset="0"/>
          </a:endParaRPr>
        </a:p>
      </xdr:txBody>
    </xdr:sp>
    <xdr:clientData/>
  </xdr:twoCellAnchor>
  <xdr:twoCellAnchor>
    <xdr:from>
      <xdr:col>10</xdr:col>
      <xdr:colOff>156673</xdr:colOff>
      <xdr:row>5</xdr:row>
      <xdr:rowOff>128187</xdr:rowOff>
    </xdr:from>
    <xdr:to>
      <xdr:col>12</xdr:col>
      <xdr:colOff>270617</xdr:colOff>
      <xdr:row>6</xdr:row>
      <xdr:rowOff>178038</xdr:rowOff>
    </xdr:to>
    <xdr:sp macro="" textlink="">
      <xdr:nvSpPr>
        <xdr:cNvPr id="33" name="TextBox 32">
          <a:extLst>
            <a:ext uri="{FF2B5EF4-FFF2-40B4-BE49-F238E27FC236}">
              <a16:creationId xmlns:a16="http://schemas.microsoft.com/office/drawing/2014/main" id="{4207705A-D60C-5CCF-A340-161E78F9FF60}"/>
            </a:ext>
          </a:extLst>
        </xdr:cNvPr>
        <xdr:cNvSpPr txBox="1"/>
      </xdr:nvSpPr>
      <xdr:spPr>
        <a:xfrm>
          <a:off x="6281159" y="1053981"/>
          <a:ext cx="1338841" cy="235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Arial Black" panose="020B0A04020102020204" pitchFamily="34" charset="0"/>
            </a:rPr>
            <a:t>Active violation</a:t>
          </a:r>
        </a:p>
      </xdr:txBody>
    </xdr:sp>
    <xdr:clientData/>
  </xdr:twoCellAnchor>
  <xdr:twoCellAnchor>
    <xdr:from>
      <xdr:col>14</xdr:col>
      <xdr:colOff>448655</xdr:colOff>
      <xdr:row>5</xdr:row>
      <xdr:rowOff>121067</xdr:rowOff>
    </xdr:from>
    <xdr:to>
      <xdr:col>16</xdr:col>
      <xdr:colOff>530087</xdr:colOff>
      <xdr:row>7</xdr:row>
      <xdr:rowOff>39757</xdr:rowOff>
    </xdr:to>
    <xdr:sp macro="" textlink="">
      <xdr:nvSpPr>
        <xdr:cNvPr id="35" name="TextBox 34">
          <a:extLst>
            <a:ext uri="{FF2B5EF4-FFF2-40B4-BE49-F238E27FC236}">
              <a16:creationId xmlns:a16="http://schemas.microsoft.com/office/drawing/2014/main" id="{F49794CB-BCBC-E207-07A6-4EC8CF31B252}"/>
            </a:ext>
          </a:extLst>
        </xdr:cNvPr>
        <xdr:cNvSpPr txBox="1"/>
      </xdr:nvSpPr>
      <xdr:spPr>
        <a:xfrm>
          <a:off x="8983055" y="1048719"/>
          <a:ext cx="1300632" cy="289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Arial Black" panose="020B0A04020102020204" pitchFamily="34" charset="0"/>
            </a:rPr>
            <a:t>Ignored violation</a:t>
          </a:r>
        </a:p>
      </xdr:txBody>
    </xdr:sp>
    <xdr:clientData/>
  </xdr:twoCellAnchor>
  <xdr:twoCellAnchor>
    <xdr:from>
      <xdr:col>1</xdr:col>
      <xdr:colOff>298254</xdr:colOff>
      <xdr:row>16</xdr:row>
      <xdr:rowOff>150909</xdr:rowOff>
    </xdr:from>
    <xdr:to>
      <xdr:col>2</xdr:col>
      <xdr:colOff>464508</xdr:colOff>
      <xdr:row>18</xdr:row>
      <xdr:rowOff>65943</xdr:rowOff>
    </xdr:to>
    <xdr:sp macro="" textlink="">
      <xdr:nvSpPr>
        <xdr:cNvPr id="36" name="TextBox 35">
          <a:extLst>
            <a:ext uri="{FF2B5EF4-FFF2-40B4-BE49-F238E27FC236}">
              <a16:creationId xmlns:a16="http://schemas.microsoft.com/office/drawing/2014/main" id="{18A614BB-8080-22A3-E263-0A78D518BCA5}"/>
            </a:ext>
          </a:extLst>
        </xdr:cNvPr>
        <xdr:cNvSpPr txBox="1"/>
      </xdr:nvSpPr>
      <xdr:spPr>
        <a:xfrm>
          <a:off x="906389" y="3081678"/>
          <a:ext cx="774388" cy="281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Managed:</a:t>
          </a:r>
        </a:p>
      </xdr:txBody>
    </xdr:sp>
    <xdr:clientData/>
  </xdr:twoCellAnchor>
  <xdr:twoCellAnchor>
    <xdr:from>
      <xdr:col>13</xdr:col>
      <xdr:colOff>443855</xdr:colOff>
      <xdr:row>15</xdr:row>
      <xdr:rowOff>104089</xdr:rowOff>
    </xdr:from>
    <xdr:to>
      <xdr:col>19</xdr:col>
      <xdr:colOff>171173</xdr:colOff>
      <xdr:row>28</xdr:row>
      <xdr:rowOff>77025</xdr:rowOff>
    </xdr:to>
    <xdr:graphicFrame macro="">
      <xdr:nvGraphicFramePr>
        <xdr:cNvPr id="37" name="Chart 36">
          <a:extLst>
            <a:ext uri="{FF2B5EF4-FFF2-40B4-BE49-F238E27FC236}">
              <a16:creationId xmlns:a16="http://schemas.microsoft.com/office/drawing/2014/main" id="{A9340FC7-ED8B-4189-A0F6-33647695D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454269</xdr:colOff>
      <xdr:row>13</xdr:row>
      <xdr:rowOff>121066</xdr:rowOff>
    </xdr:from>
    <xdr:to>
      <xdr:col>11</xdr:col>
      <xdr:colOff>608133</xdr:colOff>
      <xdr:row>15</xdr:row>
      <xdr:rowOff>106823</xdr:rowOff>
    </xdr:to>
    <xdr:sp macro="" textlink="">
      <xdr:nvSpPr>
        <xdr:cNvPr id="38" name="TextBox 37">
          <a:extLst>
            <a:ext uri="{FF2B5EF4-FFF2-40B4-BE49-F238E27FC236}">
              <a16:creationId xmlns:a16="http://schemas.microsoft.com/office/drawing/2014/main" id="{0C0DCDAC-021F-89D7-A3DB-1B5D4650BC6E}"/>
            </a:ext>
          </a:extLst>
        </xdr:cNvPr>
        <xdr:cNvSpPr txBox="1"/>
      </xdr:nvSpPr>
      <xdr:spPr>
        <a:xfrm>
          <a:off x="4711211" y="2502316"/>
          <a:ext cx="2586403" cy="352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ea typeface="Calibri" panose="020F0502020204030204" pitchFamily="34" charset="0"/>
              <a:cs typeface="Calibri" panose="020F0502020204030204" pitchFamily="34" charset="0"/>
            </a:rPr>
            <a:t>Follow rules to avoid violations</a:t>
          </a:r>
        </a:p>
      </xdr:txBody>
    </xdr:sp>
    <xdr:clientData/>
  </xdr:twoCellAnchor>
  <xdr:oneCellAnchor>
    <xdr:from>
      <xdr:col>6</xdr:col>
      <xdr:colOff>0</xdr:colOff>
      <xdr:row>59</xdr:row>
      <xdr:rowOff>113321</xdr:rowOff>
    </xdr:from>
    <xdr:ext cx="7772400" cy="233205"/>
    <xdr:sp macro="" textlink="">
      <xdr:nvSpPr>
        <xdr:cNvPr id="41" name="TextBox 40">
          <a:extLst>
            <a:ext uri="{FF2B5EF4-FFF2-40B4-BE49-F238E27FC236}">
              <a16:creationId xmlns:a16="http://schemas.microsoft.com/office/drawing/2014/main" id="{BA855CC5-F23E-9EB3-97B7-D0A0F6FF386B}"/>
            </a:ext>
          </a:extLst>
        </xdr:cNvPr>
        <xdr:cNvSpPr txBox="1"/>
      </xdr:nvSpPr>
      <xdr:spPr>
        <a:xfrm>
          <a:off x="3674692" y="11037695"/>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0</xdr:col>
      <xdr:colOff>541233</xdr:colOff>
      <xdr:row>7</xdr:row>
      <xdr:rowOff>21364</xdr:rowOff>
    </xdr:from>
    <xdr:to>
      <xdr:col>3</xdr:col>
      <xdr:colOff>170915</xdr:colOff>
      <xdr:row>11</xdr:row>
      <xdr:rowOff>149550</xdr:rowOff>
    </xdr:to>
    <xdr:graphicFrame macro="">
      <xdr:nvGraphicFramePr>
        <xdr:cNvPr id="50" name="Chart 49">
          <a:extLst>
            <a:ext uri="{FF2B5EF4-FFF2-40B4-BE49-F238E27FC236}">
              <a16:creationId xmlns:a16="http://schemas.microsoft.com/office/drawing/2014/main" id="{110DA3F8-6C2C-4916-A80D-7091EBE1A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363195</xdr:colOff>
      <xdr:row>7</xdr:row>
      <xdr:rowOff>78337</xdr:rowOff>
    </xdr:from>
    <xdr:to>
      <xdr:col>10</xdr:col>
      <xdr:colOff>598205</xdr:colOff>
      <xdr:row>11</xdr:row>
      <xdr:rowOff>156673</xdr:rowOff>
    </xdr:to>
    <xdr:graphicFrame macro="">
      <xdr:nvGraphicFramePr>
        <xdr:cNvPr id="52" name="Chart 51">
          <a:extLst>
            <a:ext uri="{FF2B5EF4-FFF2-40B4-BE49-F238E27FC236}">
              <a16:creationId xmlns:a16="http://schemas.microsoft.com/office/drawing/2014/main" id="{E0DC1CD7-3FCD-4C1C-A7F6-116F70884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106821</xdr:colOff>
      <xdr:row>7</xdr:row>
      <xdr:rowOff>106823</xdr:rowOff>
    </xdr:from>
    <xdr:to>
      <xdr:col>15</xdr:col>
      <xdr:colOff>498503</xdr:colOff>
      <xdr:row>12</xdr:row>
      <xdr:rowOff>14243</xdr:rowOff>
    </xdr:to>
    <xdr:graphicFrame macro="">
      <xdr:nvGraphicFramePr>
        <xdr:cNvPr id="53" name="Chart 52">
          <a:extLst>
            <a:ext uri="{FF2B5EF4-FFF2-40B4-BE49-F238E27FC236}">
              <a16:creationId xmlns:a16="http://schemas.microsoft.com/office/drawing/2014/main" id="{1AC8EC94-7780-4C2B-AD79-41D43D1F5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519869</xdr:colOff>
      <xdr:row>7</xdr:row>
      <xdr:rowOff>1</xdr:rowOff>
    </xdr:from>
    <xdr:to>
      <xdr:col>7</xdr:col>
      <xdr:colOff>220766</xdr:colOff>
      <xdr:row>11</xdr:row>
      <xdr:rowOff>113945</xdr:rowOff>
    </xdr:to>
    <xdr:graphicFrame macro="">
      <xdr:nvGraphicFramePr>
        <xdr:cNvPr id="56" name="Chart 55">
          <a:extLst>
            <a:ext uri="{FF2B5EF4-FFF2-40B4-BE49-F238E27FC236}">
              <a16:creationId xmlns:a16="http://schemas.microsoft.com/office/drawing/2014/main" id="{6EAEA76D-0C40-49AD-B629-13B87A022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291981</xdr:colOff>
      <xdr:row>5</xdr:row>
      <xdr:rowOff>106822</xdr:rowOff>
    </xdr:from>
    <xdr:to>
      <xdr:col>1</xdr:col>
      <xdr:colOff>206523</xdr:colOff>
      <xdr:row>6</xdr:row>
      <xdr:rowOff>156673</xdr:rowOff>
    </xdr:to>
    <xdr:sp macro="" textlink="'Pivot table'!$B$24">
      <xdr:nvSpPr>
        <xdr:cNvPr id="57" name="TextBox 56">
          <a:extLst>
            <a:ext uri="{FF2B5EF4-FFF2-40B4-BE49-F238E27FC236}">
              <a16:creationId xmlns:a16="http://schemas.microsoft.com/office/drawing/2014/main" id="{3826B4CD-2E43-A1B4-EFE2-9A5402A7E263}"/>
            </a:ext>
          </a:extLst>
        </xdr:cNvPr>
        <xdr:cNvSpPr txBox="1"/>
      </xdr:nvSpPr>
      <xdr:spPr>
        <a:xfrm>
          <a:off x="291981" y="1032616"/>
          <a:ext cx="526991" cy="235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9AC899-966B-4497-BC5B-9C8910393DB8}" type="TxLink">
            <a:rPr lang="en-US" sz="1100" b="0" i="0" u="none" strike="noStrike">
              <a:solidFill>
                <a:srgbClr val="000000"/>
              </a:solidFill>
              <a:latin typeface="Aptos Narrow"/>
            </a:rPr>
            <a:pPr/>
            <a:t>2307</a:t>
          </a:fld>
          <a:endParaRPr lang="en-IN" sz="1100"/>
        </a:p>
      </xdr:txBody>
    </xdr:sp>
    <xdr:clientData/>
  </xdr:twoCellAnchor>
  <xdr:twoCellAnchor editAs="oneCell">
    <xdr:from>
      <xdr:col>7</xdr:col>
      <xdr:colOff>575934</xdr:colOff>
      <xdr:row>16</xdr:row>
      <xdr:rowOff>6358</xdr:rowOff>
    </xdr:from>
    <xdr:to>
      <xdr:col>12</xdr:col>
      <xdr:colOff>307209</xdr:colOff>
      <xdr:row>27</xdr:row>
      <xdr:rowOff>171004</xdr:rowOff>
    </xdr:to>
    <xdr:pic>
      <xdr:nvPicPr>
        <xdr:cNvPr id="58" name="Picture 57">
          <a:extLst>
            <a:ext uri="{FF2B5EF4-FFF2-40B4-BE49-F238E27FC236}">
              <a16:creationId xmlns:a16="http://schemas.microsoft.com/office/drawing/2014/main" id="{E58B3A30-E8C8-7496-ED2C-5A85DE30EFCB}"/>
            </a:ext>
          </a:extLst>
        </xdr:cNvPr>
        <xdr:cNvPicPr>
          <a:picLocks noChangeAspect="1"/>
        </xdr:cNvPicPr>
      </xdr:nvPicPr>
      <xdr:blipFill>
        <a:blip xmlns:r="http://schemas.openxmlformats.org/officeDocument/2006/relationships" r:embed="rId17"/>
        <a:stretch>
          <a:fillRect/>
        </a:stretch>
      </xdr:blipFill>
      <xdr:spPr>
        <a:xfrm>
          <a:off x="4827673" y="3010184"/>
          <a:ext cx="2768232" cy="2229777"/>
        </a:xfrm>
        <a:prstGeom prst="rect">
          <a:avLst/>
        </a:prstGeom>
      </xdr:spPr>
    </xdr:pic>
    <xdr:clientData/>
  </xdr:twoCellAnchor>
  <xdr:twoCellAnchor>
    <xdr:from>
      <xdr:col>13</xdr:col>
      <xdr:colOff>531426</xdr:colOff>
      <xdr:row>13</xdr:row>
      <xdr:rowOff>110100</xdr:rowOff>
    </xdr:from>
    <xdr:to>
      <xdr:col>19</xdr:col>
      <xdr:colOff>31792</xdr:colOff>
      <xdr:row>15</xdr:row>
      <xdr:rowOff>48525</xdr:rowOff>
    </xdr:to>
    <xdr:sp macro="" textlink="">
      <xdr:nvSpPr>
        <xdr:cNvPr id="59" name="TextBox 58">
          <a:extLst>
            <a:ext uri="{FF2B5EF4-FFF2-40B4-BE49-F238E27FC236}">
              <a16:creationId xmlns:a16="http://schemas.microsoft.com/office/drawing/2014/main" id="{CDE23BD5-842D-CFAA-A679-66B12DD5AF86}"/>
            </a:ext>
          </a:extLst>
        </xdr:cNvPr>
        <xdr:cNvSpPr txBox="1"/>
      </xdr:nvSpPr>
      <xdr:spPr>
        <a:xfrm>
          <a:off x="8427513" y="2550709"/>
          <a:ext cx="3144714" cy="3139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Arial Black" panose="020B0A04020102020204" pitchFamily="34" charset="0"/>
            </a:rPr>
            <a:t>No of violation by type</a:t>
          </a:r>
        </a:p>
      </xdr:txBody>
    </xdr:sp>
    <xdr:clientData/>
  </xdr:twoCellAnchor>
  <xdr:twoCellAnchor editAs="oneCell">
    <xdr:from>
      <xdr:col>0</xdr:col>
      <xdr:colOff>93702</xdr:colOff>
      <xdr:row>20</xdr:row>
      <xdr:rowOff>162239</xdr:rowOff>
    </xdr:from>
    <xdr:to>
      <xdr:col>1</xdr:col>
      <xdr:colOff>447094</xdr:colOff>
      <xdr:row>27</xdr:row>
      <xdr:rowOff>124375</xdr:rowOff>
    </xdr:to>
    <xdr:pic>
      <xdr:nvPicPr>
        <xdr:cNvPr id="60" name="Picture 59">
          <a:extLst>
            <a:ext uri="{FF2B5EF4-FFF2-40B4-BE49-F238E27FC236}">
              <a16:creationId xmlns:a16="http://schemas.microsoft.com/office/drawing/2014/main" id="{AAFE2ACA-F9D0-C760-6447-5068521B7768}"/>
            </a:ext>
          </a:extLst>
        </xdr:cNvPr>
        <xdr:cNvPicPr>
          <a:picLocks noChangeAspect="1"/>
        </xdr:cNvPicPr>
      </xdr:nvPicPr>
      <xdr:blipFill>
        <a:blip xmlns:r="http://schemas.openxmlformats.org/officeDocument/2006/relationships" r:embed="rId18"/>
        <a:stretch>
          <a:fillRect/>
        </a:stretch>
      </xdr:blipFill>
      <xdr:spPr>
        <a:xfrm>
          <a:off x="93702" y="3825701"/>
          <a:ext cx="961527" cy="1244347"/>
        </a:xfrm>
        <a:prstGeom prst="rect">
          <a:avLst/>
        </a:prstGeom>
      </xdr:spPr>
    </xdr:pic>
    <xdr:clientData/>
  </xdr:twoCellAnchor>
  <xdr:twoCellAnchor>
    <xdr:from>
      <xdr:col>0</xdr:col>
      <xdr:colOff>90714</xdr:colOff>
      <xdr:row>20</xdr:row>
      <xdr:rowOff>36286</xdr:rowOff>
    </xdr:from>
    <xdr:to>
      <xdr:col>7</xdr:col>
      <xdr:colOff>117929</xdr:colOff>
      <xdr:row>20</xdr:row>
      <xdr:rowOff>90715</xdr:rowOff>
    </xdr:to>
    <xdr:cxnSp macro="">
      <xdr:nvCxnSpPr>
        <xdr:cNvPr id="62" name="Straight Connector 61">
          <a:extLst>
            <a:ext uri="{FF2B5EF4-FFF2-40B4-BE49-F238E27FC236}">
              <a16:creationId xmlns:a16="http://schemas.microsoft.com/office/drawing/2014/main" id="{D9FF8059-093F-DC08-EDCD-7F109026D02D}"/>
            </a:ext>
          </a:extLst>
        </xdr:cNvPr>
        <xdr:cNvCxnSpPr/>
      </xdr:nvCxnSpPr>
      <xdr:spPr>
        <a:xfrm flipV="1">
          <a:off x="90714" y="3664857"/>
          <a:ext cx="4281715" cy="54429"/>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351692</xdr:colOff>
      <xdr:row>21</xdr:row>
      <xdr:rowOff>146538</xdr:rowOff>
    </xdr:from>
    <xdr:to>
      <xdr:col>3</xdr:col>
      <xdr:colOff>197827</xdr:colOff>
      <xdr:row>23</xdr:row>
      <xdr:rowOff>29307</xdr:rowOff>
    </xdr:to>
    <xdr:sp macro="" textlink="">
      <xdr:nvSpPr>
        <xdr:cNvPr id="63" name="TextBox 62">
          <a:extLst>
            <a:ext uri="{FF2B5EF4-FFF2-40B4-BE49-F238E27FC236}">
              <a16:creationId xmlns:a16="http://schemas.microsoft.com/office/drawing/2014/main" id="{70ACB35E-B47A-E344-50AB-02E3C20BF8C5}"/>
            </a:ext>
          </a:extLst>
        </xdr:cNvPr>
        <xdr:cNvSpPr txBox="1"/>
      </xdr:nvSpPr>
      <xdr:spPr>
        <a:xfrm>
          <a:off x="959827" y="3993173"/>
          <a:ext cx="1062404" cy="249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Rules</a:t>
          </a:r>
        </a:p>
      </xdr:txBody>
    </xdr:sp>
    <xdr:clientData/>
  </xdr:twoCellAnchor>
  <xdr:twoCellAnchor>
    <xdr:from>
      <xdr:col>2</xdr:col>
      <xdr:colOff>483576</xdr:colOff>
      <xdr:row>23</xdr:row>
      <xdr:rowOff>131885</xdr:rowOff>
    </xdr:from>
    <xdr:to>
      <xdr:col>5</xdr:col>
      <xdr:colOff>95249</xdr:colOff>
      <xdr:row>25</xdr:row>
      <xdr:rowOff>14654</xdr:rowOff>
    </xdr:to>
    <xdr:sp macro="" textlink="'Pivot table'!B23">
      <xdr:nvSpPr>
        <xdr:cNvPr id="64" name="TextBox 63">
          <a:extLst>
            <a:ext uri="{FF2B5EF4-FFF2-40B4-BE49-F238E27FC236}">
              <a16:creationId xmlns:a16="http://schemas.microsoft.com/office/drawing/2014/main" id="{FC5861C0-B2EE-7930-4F9B-265257A121CD}"/>
            </a:ext>
          </a:extLst>
        </xdr:cNvPr>
        <xdr:cNvSpPr txBox="1"/>
      </xdr:nvSpPr>
      <xdr:spPr>
        <a:xfrm>
          <a:off x="1699845" y="4344866"/>
          <a:ext cx="1436077" cy="249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A481F4-4C36-4F50-BEF7-CE01C7437248}" type="TxLink">
            <a:rPr lang="en-US" sz="1100" b="0" i="0" u="none" strike="noStrike">
              <a:solidFill>
                <a:srgbClr val="000000"/>
              </a:solidFill>
              <a:latin typeface="Aptos Narrow"/>
            </a:rPr>
            <a:pPr/>
            <a:t>1319</a:t>
          </a:fld>
          <a:endParaRPr lang="en-IN" sz="1100"/>
        </a:p>
      </xdr:txBody>
    </xdr:sp>
    <xdr:clientData/>
  </xdr:twoCellAnchor>
  <xdr:twoCellAnchor>
    <xdr:from>
      <xdr:col>1</xdr:col>
      <xdr:colOff>373673</xdr:colOff>
      <xdr:row>23</xdr:row>
      <xdr:rowOff>117231</xdr:rowOff>
    </xdr:from>
    <xdr:to>
      <xdr:col>2</xdr:col>
      <xdr:colOff>432289</xdr:colOff>
      <xdr:row>25</xdr:row>
      <xdr:rowOff>73269</xdr:rowOff>
    </xdr:to>
    <xdr:sp macro="" textlink="">
      <xdr:nvSpPr>
        <xdr:cNvPr id="65" name="TextBox 64">
          <a:extLst>
            <a:ext uri="{FF2B5EF4-FFF2-40B4-BE49-F238E27FC236}">
              <a16:creationId xmlns:a16="http://schemas.microsoft.com/office/drawing/2014/main" id="{1234935E-0B46-C2AC-FD28-6E441AEC40E2}"/>
            </a:ext>
          </a:extLst>
        </xdr:cNvPr>
        <xdr:cNvSpPr txBox="1"/>
      </xdr:nvSpPr>
      <xdr:spPr>
        <a:xfrm>
          <a:off x="981808" y="4330212"/>
          <a:ext cx="666750" cy="3223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p>
      </xdr:txBody>
    </xdr:sp>
    <xdr:clientData/>
  </xdr:twoCellAnchor>
  <xdr:twoCellAnchor>
    <xdr:from>
      <xdr:col>0</xdr:col>
      <xdr:colOff>73269</xdr:colOff>
      <xdr:row>27</xdr:row>
      <xdr:rowOff>146539</xdr:rowOff>
    </xdr:from>
    <xdr:to>
      <xdr:col>7</xdr:col>
      <xdr:colOff>87923</xdr:colOff>
      <xdr:row>27</xdr:row>
      <xdr:rowOff>175846</xdr:rowOff>
    </xdr:to>
    <xdr:cxnSp macro="">
      <xdr:nvCxnSpPr>
        <xdr:cNvPr id="69" name="Straight Connector 68">
          <a:extLst>
            <a:ext uri="{FF2B5EF4-FFF2-40B4-BE49-F238E27FC236}">
              <a16:creationId xmlns:a16="http://schemas.microsoft.com/office/drawing/2014/main" id="{625BC3B4-2329-6FC2-B1F0-01BBD51A49C7}"/>
            </a:ext>
          </a:extLst>
        </xdr:cNvPr>
        <xdr:cNvCxnSpPr/>
      </xdr:nvCxnSpPr>
      <xdr:spPr>
        <a:xfrm flipV="1">
          <a:off x="73269" y="5092212"/>
          <a:ext cx="4271596" cy="2930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73270</xdr:colOff>
      <xdr:row>29</xdr:row>
      <xdr:rowOff>14655</xdr:rowOff>
    </xdr:from>
    <xdr:to>
      <xdr:col>1</xdr:col>
      <xdr:colOff>545135</xdr:colOff>
      <xdr:row>34</xdr:row>
      <xdr:rowOff>178789</xdr:rowOff>
    </xdr:to>
    <xdr:pic>
      <xdr:nvPicPr>
        <xdr:cNvPr id="71" name="Picture 70">
          <a:extLst>
            <a:ext uri="{FF2B5EF4-FFF2-40B4-BE49-F238E27FC236}">
              <a16:creationId xmlns:a16="http://schemas.microsoft.com/office/drawing/2014/main" id="{CDA5DF39-9011-33BA-0916-AFECA0005479}"/>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73270" y="5326674"/>
          <a:ext cx="1080000" cy="1080000"/>
        </a:xfrm>
        <a:prstGeom prst="rect">
          <a:avLst/>
        </a:prstGeom>
      </xdr:spPr>
    </xdr:pic>
    <xdr:clientData/>
  </xdr:twoCellAnchor>
  <xdr:twoCellAnchor>
    <xdr:from>
      <xdr:col>1</xdr:col>
      <xdr:colOff>337038</xdr:colOff>
      <xdr:row>28</xdr:row>
      <xdr:rowOff>109904</xdr:rowOff>
    </xdr:from>
    <xdr:to>
      <xdr:col>2</xdr:col>
      <xdr:colOff>578827</xdr:colOff>
      <xdr:row>30</xdr:row>
      <xdr:rowOff>43962</xdr:rowOff>
    </xdr:to>
    <xdr:sp macro="" textlink="">
      <xdr:nvSpPr>
        <xdr:cNvPr id="72" name="TextBox 71">
          <a:extLst>
            <a:ext uri="{FF2B5EF4-FFF2-40B4-BE49-F238E27FC236}">
              <a16:creationId xmlns:a16="http://schemas.microsoft.com/office/drawing/2014/main" id="{83C2A6C5-A6C3-7356-1AF2-19520F16386B}"/>
            </a:ext>
          </a:extLst>
        </xdr:cNvPr>
        <xdr:cNvSpPr txBox="1"/>
      </xdr:nvSpPr>
      <xdr:spPr>
        <a:xfrm>
          <a:off x="945173" y="5238750"/>
          <a:ext cx="849923" cy="30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Violation:</a:t>
          </a:r>
          <a:endParaRPr lang="en-IN">
            <a:effectLst/>
          </a:endParaRPr>
        </a:p>
      </xdr:txBody>
    </xdr:sp>
    <xdr:clientData/>
  </xdr:twoCellAnchor>
  <xdr:twoCellAnchor>
    <xdr:from>
      <xdr:col>3</xdr:col>
      <xdr:colOff>29308</xdr:colOff>
      <xdr:row>28</xdr:row>
      <xdr:rowOff>139212</xdr:rowOff>
    </xdr:from>
    <xdr:to>
      <xdr:col>4</xdr:col>
      <xdr:colOff>58616</xdr:colOff>
      <xdr:row>30</xdr:row>
      <xdr:rowOff>21981</xdr:rowOff>
    </xdr:to>
    <xdr:sp macro="" textlink="'Pivot table'!B24">
      <xdr:nvSpPr>
        <xdr:cNvPr id="75" name="TextBox 74">
          <a:extLst>
            <a:ext uri="{FF2B5EF4-FFF2-40B4-BE49-F238E27FC236}">
              <a16:creationId xmlns:a16="http://schemas.microsoft.com/office/drawing/2014/main" id="{A18E393F-2269-E5D7-73FC-FA29DF63D9AC}"/>
            </a:ext>
          </a:extLst>
        </xdr:cNvPr>
        <xdr:cNvSpPr txBox="1"/>
      </xdr:nvSpPr>
      <xdr:spPr>
        <a:xfrm>
          <a:off x="1853712" y="5268058"/>
          <a:ext cx="637442" cy="249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AF40E6-4A19-4158-9509-033CF20098FE}" type="TxLink">
            <a:rPr lang="en-US" sz="1100" b="0" i="0" u="none" strike="noStrike">
              <a:solidFill>
                <a:srgbClr val="000000"/>
              </a:solidFill>
              <a:latin typeface="Aptos Narrow"/>
            </a:rPr>
            <a:pPr/>
            <a:t>2307</a:t>
          </a:fld>
          <a:endParaRPr lang="en-IN" sz="1100"/>
        </a:p>
      </xdr:txBody>
    </xdr:sp>
    <xdr:clientData/>
  </xdr:twoCellAnchor>
  <xdr:twoCellAnchor>
    <xdr:from>
      <xdr:col>1</xdr:col>
      <xdr:colOff>366346</xdr:colOff>
      <xdr:row>30</xdr:row>
      <xdr:rowOff>153866</xdr:rowOff>
    </xdr:from>
    <xdr:to>
      <xdr:col>2</xdr:col>
      <xdr:colOff>586154</xdr:colOff>
      <xdr:row>32</xdr:row>
      <xdr:rowOff>51289</xdr:rowOff>
    </xdr:to>
    <xdr:sp macro="" textlink="">
      <xdr:nvSpPr>
        <xdr:cNvPr id="76" name="TextBox 75">
          <a:extLst>
            <a:ext uri="{FF2B5EF4-FFF2-40B4-BE49-F238E27FC236}">
              <a16:creationId xmlns:a16="http://schemas.microsoft.com/office/drawing/2014/main" id="{C01766D2-1731-7FC2-30E7-658129312EA2}"/>
            </a:ext>
          </a:extLst>
        </xdr:cNvPr>
        <xdr:cNvSpPr txBox="1"/>
      </xdr:nvSpPr>
      <xdr:spPr>
        <a:xfrm>
          <a:off x="974481" y="5649058"/>
          <a:ext cx="827942" cy="2637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Active:</a:t>
          </a:r>
        </a:p>
      </xdr:txBody>
    </xdr:sp>
    <xdr:clientData/>
  </xdr:twoCellAnchor>
  <xdr:twoCellAnchor>
    <xdr:from>
      <xdr:col>1</xdr:col>
      <xdr:colOff>351692</xdr:colOff>
      <xdr:row>32</xdr:row>
      <xdr:rowOff>175847</xdr:rowOff>
    </xdr:from>
    <xdr:to>
      <xdr:col>2</xdr:col>
      <xdr:colOff>586154</xdr:colOff>
      <xdr:row>34</xdr:row>
      <xdr:rowOff>51288</xdr:rowOff>
    </xdr:to>
    <xdr:sp macro="" textlink="">
      <xdr:nvSpPr>
        <xdr:cNvPr id="77" name="TextBox 76">
          <a:extLst>
            <a:ext uri="{FF2B5EF4-FFF2-40B4-BE49-F238E27FC236}">
              <a16:creationId xmlns:a16="http://schemas.microsoft.com/office/drawing/2014/main" id="{99BAF47A-A4DB-1F59-9BA6-B19A29649A64}"/>
            </a:ext>
          </a:extLst>
        </xdr:cNvPr>
        <xdr:cNvSpPr txBox="1"/>
      </xdr:nvSpPr>
      <xdr:spPr>
        <a:xfrm>
          <a:off x="959827" y="6037385"/>
          <a:ext cx="842596" cy="241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Solved:</a:t>
          </a:r>
        </a:p>
      </xdr:txBody>
    </xdr:sp>
    <xdr:clientData/>
  </xdr:twoCellAnchor>
  <xdr:twoCellAnchor>
    <xdr:from>
      <xdr:col>1</xdr:col>
      <xdr:colOff>351692</xdr:colOff>
      <xdr:row>34</xdr:row>
      <xdr:rowOff>131884</xdr:rowOff>
    </xdr:from>
    <xdr:to>
      <xdr:col>2</xdr:col>
      <xdr:colOff>578827</xdr:colOff>
      <xdr:row>36</xdr:row>
      <xdr:rowOff>58615</xdr:rowOff>
    </xdr:to>
    <xdr:sp macro="" textlink="">
      <xdr:nvSpPr>
        <xdr:cNvPr id="78" name="TextBox 77">
          <a:extLst>
            <a:ext uri="{FF2B5EF4-FFF2-40B4-BE49-F238E27FC236}">
              <a16:creationId xmlns:a16="http://schemas.microsoft.com/office/drawing/2014/main" id="{3C778DD1-F478-6917-0551-564C5344B4C8}"/>
            </a:ext>
          </a:extLst>
        </xdr:cNvPr>
        <xdr:cNvSpPr txBox="1"/>
      </xdr:nvSpPr>
      <xdr:spPr>
        <a:xfrm>
          <a:off x="959827" y="6359769"/>
          <a:ext cx="835269" cy="293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Ignored:</a:t>
          </a:r>
        </a:p>
      </xdr:txBody>
    </xdr:sp>
    <xdr:clientData/>
  </xdr:twoCellAnchor>
  <xdr:twoCellAnchor>
    <xdr:from>
      <xdr:col>3</xdr:col>
      <xdr:colOff>51288</xdr:colOff>
      <xdr:row>30</xdr:row>
      <xdr:rowOff>175845</xdr:rowOff>
    </xdr:from>
    <xdr:to>
      <xdr:col>4</xdr:col>
      <xdr:colOff>58616</xdr:colOff>
      <xdr:row>32</xdr:row>
      <xdr:rowOff>14654</xdr:rowOff>
    </xdr:to>
    <xdr:sp macro="" textlink="'Pivot table'!B25">
      <xdr:nvSpPr>
        <xdr:cNvPr id="80" name="TextBox 79">
          <a:extLst>
            <a:ext uri="{FF2B5EF4-FFF2-40B4-BE49-F238E27FC236}">
              <a16:creationId xmlns:a16="http://schemas.microsoft.com/office/drawing/2014/main" id="{67329689-37E9-B36A-84D8-FE48DCC8C136}"/>
            </a:ext>
          </a:extLst>
        </xdr:cNvPr>
        <xdr:cNvSpPr txBox="1"/>
      </xdr:nvSpPr>
      <xdr:spPr>
        <a:xfrm>
          <a:off x="1875692" y="5671037"/>
          <a:ext cx="615462" cy="205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3B61AE-69D7-4A40-A6BB-62D49F2A9BCA}" type="TxLink">
            <a:rPr lang="en-US" sz="1100" b="0" i="0" u="none" strike="noStrike">
              <a:solidFill>
                <a:srgbClr val="000000"/>
              </a:solidFill>
              <a:latin typeface="Aptos Narrow"/>
            </a:rPr>
            <a:pPr/>
            <a:t>720</a:t>
          </a:fld>
          <a:endParaRPr lang="en-IN" sz="1100"/>
        </a:p>
      </xdr:txBody>
    </xdr:sp>
    <xdr:clientData/>
  </xdr:twoCellAnchor>
  <xdr:twoCellAnchor>
    <xdr:from>
      <xdr:col>3</xdr:col>
      <xdr:colOff>51288</xdr:colOff>
      <xdr:row>32</xdr:row>
      <xdr:rowOff>168519</xdr:rowOff>
    </xdr:from>
    <xdr:to>
      <xdr:col>4</xdr:col>
      <xdr:colOff>73270</xdr:colOff>
      <xdr:row>34</xdr:row>
      <xdr:rowOff>36634</xdr:rowOff>
    </xdr:to>
    <xdr:sp macro="" textlink="'Pivot table'!B26">
      <xdr:nvSpPr>
        <xdr:cNvPr id="81" name="TextBox 80">
          <a:extLst>
            <a:ext uri="{FF2B5EF4-FFF2-40B4-BE49-F238E27FC236}">
              <a16:creationId xmlns:a16="http://schemas.microsoft.com/office/drawing/2014/main" id="{D7D35EF0-3176-D916-E871-0E3725858FF9}"/>
            </a:ext>
          </a:extLst>
        </xdr:cNvPr>
        <xdr:cNvSpPr txBox="1"/>
      </xdr:nvSpPr>
      <xdr:spPr>
        <a:xfrm>
          <a:off x="1875692" y="6030057"/>
          <a:ext cx="630116" cy="23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8CC4CB-6284-49E6-9D6B-F53A7200714F}" type="TxLink">
            <a:rPr lang="en-US" sz="1100" b="0" i="0" u="none" strike="noStrike">
              <a:solidFill>
                <a:srgbClr val="000000"/>
              </a:solidFill>
              <a:latin typeface="Aptos Narrow"/>
            </a:rPr>
            <a:pPr/>
            <a:t>1041</a:t>
          </a:fld>
          <a:endParaRPr lang="en-IN" sz="1100"/>
        </a:p>
      </xdr:txBody>
    </xdr:sp>
    <xdr:clientData/>
  </xdr:twoCellAnchor>
  <xdr:twoCellAnchor>
    <xdr:from>
      <xdr:col>3</xdr:col>
      <xdr:colOff>65942</xdr:colOff>
      <xdr:row>34</xdr:row>
      <xdr:rowOff>146538</xdr:rowOff>
    </xdr:from>
    <xdr:to>
      <xdr:col>4</xdr:col>
      <xdr:colOff>58616</xdr:colOff>
      <xdr:row>36</xdr:row>
      <xdr:rowOff>29307</xdr:rowOff>
    </xdr:to>
    <xdr:sp macro="" textlink="'Pivot table'!B27">
      <xdr:nvSpPr>
        <xdr:cNvPr id="82" name="TextBox 81">
          <a:extLst>
            <a:ext uri="{FF2B5EF4-FFF2-40B4-BE49-F238E27FC236}">
              <a16:creationId xmlns:a16="http://schemas.microsoft.com/office/drawing/2014/main" id="{5F109A76-5421-B4D5-E431-A99B1343099F}"/>
            </a:ext>
          </a:extLst>
        </xdr:cNvPr>
        <xdr:cNvSpPr txBox="1"/>
      </xdr:nvSpPr>
      <xdr:spPr>
        <a:xfrm>
          <a:off x="1890346" y="6374423"/>
          <a:ext cx="600808" cy="249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55931-069A-4FB3-86F0-430B69D894CA}" type="TxLink">
            <a:rPr lang="en-US" sz="1100" b="0" i="0" u="none" strike="noStrike">
              <a:solidFill>
                <a:srgbClr val="000000"/>
              </a:solidFill>
              <a:latin typeface="Aptos Narrow"/>
            </a:rPr>
            <a:pPr/>
            <a:t>531</a:t>
          </a:fld>
          <a:endParaRPr lang="en-IN" sz="1100"/>
        </a:p>
      </xdr:txBody>
    </xdr:sp>
    <xdr:clientData/>
  </xdr:twoCellAnchor>
  <xdr:twoCellAnchor>
    <xdr:from>
      <xdr:col>7</xdr:col>
      <xdr:colOff>161193</xdr:colOff>
      <xdr:row>29</xdr:row>
      <xdr:rowOff>36636</xdr:rowOff>
    </xdr:from>
    <xdr:to>
      <xdr:col>14</xdr:col>
      <xdr:colOff>7327</xdr:colOff>
      <xdr:row>49</xdr:row>
      <xdr:rowOff>131885</xdr:rowOff>
    </xdr:to>
    <xdr:sp macro="" textlink="">
      <xdr:nvSpPr>
        <xdr:cNvPr id="83" name="Rectangle: Rounded Corners 82">
          <a:extLst>
            <a:ext uri="{FF2B5EF4-FFF2-40B4-BE49-F238E27FC236}">
              <a16:creationId xmlns:a16="http://schemas.microsoft.com/office/drawing/2014/main" id="{2178A2ED-7135-153F-579C-9895687B15BB}"/>
            </a:ext>
          </a:extLst>
        </xdr:cNvPr>
        <xdr:cNvSpPr/>
      </xdr:nvSpPr>
      <xdr:spPr>
        <a:xfrm>
          <a:off x="4418135" y="5348655"/>
          <a:ext cx="4103077" cy="37587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315058</xdr:colOff>
      <xdr:row>32</xdr:row>
      <xdr:rowOff>7327</xdr:rowOff>
    </xdr:from>
    <xdr:to>
      <xdr:col>13</xdr:col>
      <xdr:colOff>505558</xdr:colOff>
      <xdr:row>47</xdr:row>
      <xdr:rowOff>2930</xdr:rowOff>
    </xdr:to>
    <xdr:graphicFrame macro="">
      <xdr:nvGraphicFramePr>
        <xdr:cNvPr id="84" name="Chart 83">
          <a:extLst>
            <a:ext uri="{FF2B5EF4-FFF2-40B4-BE49-F238E27FC236}">
              <a16:creationId xmlns:a16="http://schemas.microsoft.com/office/drawing/2014/main" id="{23B437F5-9DBA-409D-9618-30CFB7322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102577</xdr:colOff>
      <xdr:row>29</xdr:row>
      <xdr:rowOff>87923</xdr:rowOff>
    </xdr:from>
    <xdr:to>
      <xdr:col>20</xdr:col>
      <xdr:colOff>278423</xdr:colOff>
      <xdr:row>49</xdr:row>
      <xdr:rowOff>146538</xdr:rowOff>
    </xdr:to>
    <xdr:sp macro="" textlink="">
      <xdr:nvSpPr>
        <xdr:cNvPr id="85" name="Rectangle: Rounded Corners 84">
          <a:extLst>
            <a:ext uri="{FF2B5EF4-FFF2-40B4-BE49-F238E27FC236}">
              <a16:creationId xmlns:a16="http://schemas.microsoft.com/office/drawing/2014/main" id="{5C33B370-B97F-5FEB-7A55-94FA26670810}"/>
            </a:ext>
          </a:extLst>
        </xdr:cNvPr>
        <xdr:cNvSpPr/>
      </xdr:nvSpPr>
      <xdr:spPr>
        <a:xfrm>
          <a:off x="8616462" y="5399942"/>
          <a:ext cx="3824653" cy="37220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373673</xdr:colOff>
      <xdr:row>32</xdr:row>
      <xdr:rowOff>146539</xdr:rowOff>
    </xdr:from>
    <xdr:to>
      <xdr:col>19</xdr:col>
      <xdr:colOff>542192</xdr:colOff>
      <xdr:row>47</xdr:row>
      <xdr:rowOff>142142</xdr:rowOff>
    </xdr:to>
    <xdr:graphicFrame macro="">
      <xdr:nvGraphicFramePr>
        <xdr:cNvPr id="86" name="Chart 85">
          <a:extLst>
            <a:ext uri="{FF2B5EF4-FFF2-40B4-BE49-F238E27FC236}">
              <a16:creationId xmlns:a16="http://schemas.microsoft.com/office/drawing/2014/main" id="{2E27A96A-2EE0-453A-896C-4DB87503B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564173</xdr:colOff>
      <xdr:row>29</xdr:row>
      <xdr:rowOff>153866</xdr:rowOff>
    </xdr:from>
    <xdr:to>
      <xdr:col>12</xdr:col>
      <xdr:colOff>439616</xdr:colOff>
      <xdr:row>31</xdr:row>
      <xdr:rowOff>109904</xdr:rowOff>
    </xdr:to>
    <xdr:sp macro="" textlink="">
      <xdr:nvSpPr>
        <xdr:cNvPr id="87" name="TextBox 86">
          <a:extLst>
            <a:ext uri="{FF2B5EF4-FFF2-40B4-BE49-F238E27FC236}">
              <a16:creationId xmlns:a16="http://schemas.microsoft.com/office/drawing/2014/main" id="{FAFD971E-F393-0E04-FB52-8CCFC5AC156E}"/>
            </a:ext>
          </a:extLst>
        </xdr:cNvPr>
        <xdr:cNvSpPr txBox="1"/>
      </xdr:nvSpPr>
      <xdr:spPr>
        <a:xfrm>
          <a:off x="4821115" y="5465885"/>
          <a:ext cx="2916116" cy="3223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Active violation by city</a:t>
          </a:r>
        </a:p>
      </xdr:txBody>
    </xdr:sp>
    <xdr:clientData/>
  </xdr:twoCellAnchor>
  <xdr:twoCellAnchor>
    <xdr:from>
      <xdr:col>15</xdr:col>
      <xdr:colOff>102577</xdr:colOff>
      <xdr:row>30</xdr:row>
      <xdr:rowOff>58616</xdr:rowOff>
    </xdr:from>
    <xdr:to>
      <xdr:col>19</xdr:col>
      <xdr:colOff>410307</xdr:colOff>
      <xdr:row>31</xdr:row>
      <xdr:rowOff>153866</xdr:rowOff>
    </xdr:to>
    <xdr:sp macro="" textlink="">
      <xdr:nvSpPr>
        <xdr:cNvPr id="88" name="TextBox 87">
          <a:extLst>
            <a:ext uri="{FF2B5EF4-FFF2-40B4-BE49-F238E27FC236}">
              <a16:creationId xmlns:a16="http://schemas.microsoft.com/office/drawing/2014/main" id="{80642028-E616-139F-3454-65DA7A1EF765}"/>
            </a:ext>
          </a:extLst>
        </xdr:cNvPr>
        <xdr:cNvSpPr txBox="1"/>
      </xdr:nvSpPr>
      <xdr:spPr>
        <a:xfrm>
          <a:off x="9224596" y="5553808"/>
          <a:ext cx="2740269" cy="27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No of active</a:t>
          </a:r>
          <a:r>
            <a:rPr lang="en-IN" sz="1400" baseline="0">
              <a:latin typeface="Arial Black" panose="020B0A04020102020204" pitchFamily="34" charset="0"/>
            </a:rPr>
            <a:t> and solved</a:t>
          </a:r>
          <a:endParaRPr lang="en-IN" sz="1400">
            <a:latin typeface="Arial Black" panose="020B0A04020102020204" pitchFamily="34" charset="0"/>
          </a:endParaRPr>
        </a:p>
      </xdr:txBody>
    </xdr:sp>
    <xdr:clientData/>
  </xdr:twoCellAnchor>
  <xdr:twoCellAnchor>
    <xdr:from>
      <xdr:col>0</xdr:col>
      <xdr:colOff>80597</xdr:colOff>
      <xdr:row>38</xdr:row>
      <xdr:rowOff>161192</xdr:rowOff>
    </xdr:from>
    <xdr:to>
      <xdr:col>7</xdr:col>
      <xdr:colOff>29309</xdr:colOff>
      <xdr:row>58</xdr:row>
      <xdr:rowOff>21981</xdr:rowOff>
    </xdr:to>
    <xdr:sp macro="" textlink="">
      <xdr:nvSpPr>
        <xdr:cNvPr id="89" name="Oval 88">
          <a:extLst>
            <a:ext uri="{FF2B5EF4-FFF2-40B4-BE49-F238E27FC236}">
              <a16:creationId xmlns:a16="http://schemas.microsoft.com/office/drawing/2014/main" id="{78AB2491-713D-09CE-5BCF-4CE08C74E22B}"/>
            </a:ext>
          </a:extLst>
        </xdr:cNvPr>
        <xdr:cNvSpPr/>
      </xdr:nvSpPr>
      <xdr:spPr>
        <a:xfrm>
          <a:off x="80597" y="7121769"/>
          <a:ext cx="4205654" cy="3524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29306</xdr:colOff>
      <xdr:row>42</xdr:row>
      <xdr:rowOff>168519</xdr:rowOff>
    </xdr:from>
    <xdr:to>
      <xdr:col>6</xdr:col>
      <xdr:colOff>139210</xdr:colOff>
      <xdr:row>54</xdr:row>
      <xdr:rowOff>117232</xdr:rowOff>
    </xdr:to>
    <xdr:graphicFrame macro="">
      <xdr:nvGraphicFramePr>
        <xdr:cNvPr id="90" name="Chart 89">
          <a:extLst>
            <a:ext uri="{FF2B5EF4-FFF2-40B4-BE49-F238E27FC236}">
              <a16:creationId xmlns:a16="http://schemas.microsoft.com/office/drawing/2014/main" id="{A15CA4CA-3997-4CA4-BD4D-27B5F985A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366346</xdr:colOff>
      <xdr:row>41</xdr:row>
      <xdr:rowOff>29308</xdr:rowOff>
    </xdr:from>
    <xdr:to>
      <xdr:col>5</xdr:col>
      <xdr:colOff>359019</xdr:colOff>
      <xdr:row>42</xdr:row>
      <xdr:rowOff>124558</xdr:rowOff>
    </xdr:to>
    <xdr:sp macro="" textlink="">
      <xdr:nvSpPr>
        <xdr:cNvPr id="91" name="TextBox 90">
          <a:extLst>
            <a:ext uri="{FF2B5EF4-FFF2-40B4-BE49-F238E27FC236}">
              <a16:creationId xmlns:a16="http://schemas.microsoft.com/office/drawing/2014/main" id="{F0971727-4564-D2F1-5996-51FF0DD4718F}"/>
            </a:ext>
          </a:extLst>
        </xdr:cNvPr>
        <xdr:cNvSpPr txBox="1"/>
      </xdr:nvSpPr>
      <xdr:spPr>
        <a:xfrm>
          <a:off x="974481" y="7539404"/>
          <a:ext cx="2425211" cy="278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Solved violation compliance</a:t>
          </a:r>
        </a:p>
      </xdr:txBody>
    </xdr:sp>
    <xdr:clientData/>
  </xdr:twoCellAnchor>
  <xdr:twoCellAnchor>
    <xdr:from>
      <xdr:col>7</xdr:col>
      <xdr:colOff>183173</xdr:colOff>
      <xdr:row>50</xdr:row>
      <xdr:rowOff>7327</xdr:rowOff>
    </xdr:from>
    <xdr:to>
      <xdr:col>13</xdr:col>
      <xdr:colOff>549519</xdr:colOff>
      <xdr:row>63</xdr:row>
      <xdr:rowOff>168519</xdr:rowOff>
    </xdr:to>
    <xdr:sp macro="" textlink="">
      <xdr:nvSpPr>
        <xdr:cNvPr id="93" name="Rectangle: Rounded Corners 92">
          <a:extLst>
            <a:ext uri="{FF2B5EF4-FFF2-40B4-BE49-F238E27FC236}">
              <a16:creationId xmlns:a16="http://schemas.microsoft.com/office/drawing/2014/main" id="{F200B34C-6444-F185-AC3F-EE613E2215A4}"/>
            </a:ext>
          </a:extLst>
        </xdr:cNvPr>
        <xdr:cNvSpPr/>
      </xdr:nvSpPr>
      <xdr:spPr>
        <a:xfrm>
          <a:off x="4440115" y="9165981"/>
          <a:ext cx="4015154" cy="254244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293078</xdr:colOff>
      <xdr:row>52</xdr:row>
      <xdr:rowOff>21979</xdr:rowOff>
    </xdr:from>
    <xdr:to>
      <xdr:col>13</xdr:col>
      <xdr:colOff>381000</xdr:colOff>
      <xdr:row>62</xdr:row>
      <xdr:rowOff>161191</xdr:rowOff>
    </xdr:to>
    <xdr:graphicFrame macro="">
      <xdr:nvGraphicFramePr>
        <xdr:cNvPr id="95" name="Chart 94">
          <a:extLst>
            <a:ext uri="{FF2B5EF4-FFF2-40B4-BE49-F238E27FC236}">
              <a16:creationId xmlns:a16="http://schemas.microsoft.com/office/drawing/2014/main" id="{CDEA8413-0153-4AA4-9F9C-BB3B6C96B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527539</xdr:colOff>
      <xdr:row>50</xdr:row>
      <xdr:rowOff>65942</xdr:rowOff>
    </xdr:from>
    <xdr:to>
      <xdr:col>12</xdr:col>
      <xdr:colOff>549520</xdr:colOff>
      <xdr:row>51</xdr:row>
      <xdr:rowOff>139211</xdr:rowOff>
    </xdr:to>
    <xdr:sp macro="" textlink="">
      <xdr:nvSpPr>
        <xdr:cNvPr id="96" name="TextBox 95">
          <a:extLst>
            <a:ext uri="{FF2B5EF4-FFF2-40B4-BE49-F238E27FC236}">
              <a16:creationId xmlns:a16="http://schemas.microsoft.com/office/drawing/2014/main" id="{63842BB0-DC3C-AB8B-BE18-32B8420EEB53}"/>
            </a:ext>
          </a:extLst>
        </xdr:cNvPr>
        <xdr:cNvSpPr txBox="1"/>
      </xdr:nvSpPr>
      <xdr:spPr>
        <a:xfrm>
          <a:off x="4784481" y="9224596"/>
          <a:ext cx="3062654"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Voilation status</a:t>
          </a:r>
          <a:r>
            <a:rPr lang="en-IN" sz="1200" baseline="0">
              <a:latin typeface="Arial Black" panose="020B0A04020102020204" pitchFamily="34" charset="0"/>
            </a:rPr>
            <a:t> by compliance</a:t>
          </a:r>
          <a:endParaRPr lang="en-IN" sz="1200">
            <a:latin typeface="Arial Black" panose="020B0A04020102020204" pitchFamily="34" charset="0"/>
          </a:endParaRPr>
        </a:p>
      </xdr:txBody>
    </xdr:sp>
    <xdr:clientData/>
  </xdr:twoCellAnchor>
  <xdr:twoCellAnchor editAs="oneCell">
    <xdr:from>
      <xdr:col>14</xdr:col>
      <xdr:colOff>477078</xdr:colOff>
      <xdr:row>51</xdr:row>
      <xdr:rowOff>29782</xdr:rowOff>
    </xdr:from>
    <xdr:to>
      <xdr:col>18</xdr:col>
      <xdr:colOff>457199</xdr:colOff>
      <xdr:row>57</xdr:row>
      <xdr:rowOff>165653</xdr:rowOff>
    </xdr:to>
    <mc:AlternateContent xmlns:mc="http://schemas.openxmlformats.org/markup-compatibility/2006">
      <mc:Choice xmlns:a14="http://schemas.microsoft.com/office/drawing/2010/main" Requires="a14">
        <xdr:graphicFrame macro="">
          <xdr:nvGraphicFramePr>
            <xdr:cNvPr id="23" name="Year 2">
              <a:extLst>
                <a:ext uri="{FF2B5EF4-FFF2-40B4-BE49-F238E27FC236}">
                  <a16:creationId xmlns:a16="http://schemas.microsoft.com/office/drawing/2014/main" id="{04ABAF4D-8269-44E7-8C71-95719A1579E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9011478" y="9491834"/>
              <a:ext cx="2418521" cy="1249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6</xdr:row>
      <xdr:rowOff>175260</xdr:rowOff>
    </xdr:from>
    <xdr:to>
      <xdr:col>4</xdr:col>
      <xdr:colOff>434340</xdr:colOff>
      <xdr:row>9</xdr:row>
      <xdr:rowOff>152400</xdr:rowOff>
    </xdr:to>
    <xdr:graphicFrame macro="">
      <xdr:nvGraphicFramePr>
        <xdr:cNvPr id="3" name="Chart 2">
          <a:extLst>
            <a:ext uri="{FF2B5EF4-FFF2-40B4-BE49-F238E27FC236}">
              <a16:creationId xmlns:a16="http://schemas.microsoft.com/office/drawing/2014/main" id="{B13847F6-D228-3302-0ADD-1DA1A561F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685800</xdr:colOff>
      <xdr:row>3</xdr:row>
      <xdr:rowOff>82550</xdr:rowOff>
    </xdr:from>
    <xdr:to>
      <xdr:col>7</xdr:col>
      <xdr:colOff>615950</xdr:colOff>
      <xdr:row>10</xdr:row>
      <xdr:rowOff>12700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A53F651-917C-DE37-4106-EE5582D0EF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67300" y="736600"/>
              <a:ext cx="17526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a biradar" refreshedDate="46030.75447453704" createdVersion="8" refreshedVersion="8" minRefreshableVersion="3" recordCount="99" xr:uid="{4A009118-C120-47EE-B036-44392953D347}">
  <cacheSource type="worksheet">
    <worksheetSource name="Table1"/>
  </cacheSource>
  <cacheFields count="14">
    <cacheField name="Device Name" numFmtId="0">
      <sharedItems/>
    </cacheField>
    <cacheField name="Compliance " numFmtId="0">
      <sharedItems count="4">
        <s v="Severe Violation"/>
        <s v="Compliant"/>
        <s v="Light Violation"/>
        <s v="Medium Violation"/>
      </sharedItems>
    </cacheField>
    <cacheField name="Violation Type" numFmtId="0">
      <sharedItems count="6">
        <s v="Illegal U-turn"/>
        <s v="Seatbelt Violation"/>
        <s v="Red Light Violation"/>
        <s v="Speeding"/>
        <s v="No License"/>
        <s v="No Helmet"/>
      </sharedItems>
    </cacheField>
    <cacheField name="Violation Date" numFmtId="14">
      <sharedItems containsSemiMixedTypes="0" containsNonDate="0" containsDate="1" containsString="0" minDate="2023-01-01T00:00:00" maxDate="2024-12-29T00:00:00"/>
    </cacheField>
    <cacheField name="City" numFmtId="0">
      <sharedItems count="7">
        <s v="New York"/>
        <s v="Tokyo"/>
        <s v="Paris"/>
        <s v="Sydney"/>
        <s v="Mumbai"/>
        <s v="London"/>
        <s v="Singapore"/>
      </sharedItems>
    </cacheField>
    <cacheField name="Total Rules" numFmtId="0">
      <sharedItems containsMixedTypes="1" containsNumber="1" containsInteger="1" minValue="10" maxValue="20" count="16">
        <n v="16"/>
        <s v="10 km/h Speed"/>
        <n v="15"/>
        <n v="18"/>
        <s v="25 km/h Speed"/>
        <n v="20"/>
        <n v="17"/>
        <n v="10"/>
        <s v="50 km/h Speed"/>
        <s v="75 km/h Speed"/>
        <n v="19"/>
        <n v="12"/>
        <n v="13"/>
        <n v="11"/>
        <s v="100 km/h Speed"/>
        <n v="14"/>
      </sharedItems>
    </cacheField>
    <cacheField name="Total Violations" numFmtId="0">
      <sharedItems containsSemiMixedTypes="0" containsString="0" containsNumber="1" minValue="0" maxValue="50"/>
    </cacheField>
    <cacheField name="Active Violations" numFmtId="0">
      <sharedItems containsSemiMixedTypes="0" containsString="0" containsNumber="1" containsInteger="1" minValue="1" maxValue="38" count="20">
        <n v="28"/>
        <n v="5"/>
        <n v="9"/>
        <n v="11"/>
        <n v="14"/>
        <n v="1"/>
        <n v="6"/>
        <n v="12"/>
        <n v="15"/>
        <n v="30"/>
        <n v="38"/>
        <n v="13"/>
        <n v="4"/>
        <n v="7"/>
        <n v="2"/>
        <n v="32"/>
        <n v="17"/>
        <n v="8"/>
        <n v="3"/>
        <n v="10"/>
      </sharedItems>
    </cacheField>
    <cacheField name="Solved Violations" numFmtId="0">
      <sharedItems containsSemiMixedTypes="0" containsString="0" containsNumber="1" containsInteger="1" minValue="5" maxValue="15"/>
    </cacheField>
    <cacheField name="Ignored Violations" numFmtId="0">
      <sharedItems containsSemiMixedTypes="0" containsString="0" containsNumber="1" containsInteger="1" minValue="2" maxValue="13"/>
    </cacheField>
    <cacheField name="Solving Time" numFmtId="0">
      <sharedItems count="4">
        <s v="&lt;1 Week"/>
        <s v="&lt;12 Hours"/>
        <s v="&lt;1 Month"/>
        <s v="&lt;1 Day"/>
      </sharedItems>
    </cacheField>
    <cacheField name="Environment Managed" numFmtId="0">
      <sharedItems containsSemiMixedTypes="0" containsString="0" containsNumber="1" containsInteger="1" minValue="10" maxValue="20"/>
    </cacheField>
    <cacheField name="Environment Disabled" numFmtId="0">
      <sharedItems containsSemiMixedTypes="0" containsString="0" containsNumber="1" containsInteger="1" minValue="1" maxValue="5"/>
    </cacheField>
    <cacheField nam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1700870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Device_106"/>
    <x v="0"/>
    <x v="0"/>
    <d v="2023-05-01T00:00:00"/>
    <x v="0"/>
    <x v="0"/>
    <n v="50"/>
    <x v="0"/>
    <n v="13"/>
    <n v="6"/>
    <x v="0"/>
    <n v="14"/>
    <n v="4"/>
    <x v="0"/>
  </r>
  <r>
    <s v="Device_107"/>
    <x v="1"/>
    <x v="1"/>
    <d v="2024-11-19T00:00:00"/>
    <x v="1"/>
    <x v="0"/>
    <n v="14"/>
    <x v="1"/>
    <n v="6"/>
    <n v="4"/>
    <x v="1"/>
    <n v="19"/>
    <n v="2"/>
    <x v="1"/>
  </r>
  <r>
    <s v="Device_108"/>
    <x v="2"/>
    <x v="2"/>
    <d v="2024-11-05T00:00:00"/>
    <x v="2"/>
    <x v="0"/>
    <n v="10"/>
    <x v="2"/>
    <n v="9"/>
    <n v="9"/>
    <x v="0"/>
    <n v="15"/>
    <n v="1"/>
    <x v="1"/>
  </r>
  <r>
    <s v="Device_109"/>
    <x v="3"/>
    <x v="3"/>
    <d v="2024-09-29T00:00:00"/>
    <x v="3"/>
    <x v="1"/>
    <n v="0"/>
    <x v="3"/>
    <n v="5"/>
    <n v="6"/>
    <x v="1"/>
    <n v="11"/>
    <n v="1"/>
    <x v="1"/>
  </r>
  <r>
    <s v="Device_110"/>
    <x v="2"/>
    <x v="1"/>
    <d v="2024-09-07T00:00:00"/>
    <x v="4"/>
    <x v="2"/>
    <n v="10"/>
    <x v="2"/>
    <n v="12"/>
    <n v="4"/>
    <x v="2"/>
    <n v="12"/>
    <n v="1"/>
    <x v="1"/>
  </r>
  <r>
    <s v="Device_111"/>
    <x v="0"/>
    <x v="4"/>
    <d v="2024-06-17T00:00:00"/>
    <x v="1"/>
    <x v="3"/>
    <n v="19"/>
    <x v="2"/>
    <n v="14"/>
    <n v="4"/>
    <x v="0"/>
    <n v="14"/>
    <n v="1"/>
    <x v="1"/>
  </r>
  <r>
    <s v="Device_112"/>
    <x v="2"/>
    <x v="1"/>
    <d v="2023-04-02T00:00:00"/>
    <x v="0"/>
    <x v="0"/>
    <n v="10"/>
    <x v="2"/>
    <n v="6"/>
    <n v="7"/>
    <x v="1"/>
    <n v="17"/>
    <n v="1"/>
    <x v="0"/>
  </r>
  <r>
    <s v="Device_113"/>
    <x v="0"/>
    <x v="3"/>
    <d v="2024-02-13T00:00:00"/>
    <x v="2"/>
    <x v="4"/>
    <n v="15"/>
    <x v="4"/>
    <n v="11"/>
    <n v="4"/>
    <x v="2"/>
    <n v="15"/>
    <n v="4"/>
    <x v="1"/>
  </r>
  <r>
    <s v="Device_114"/>
    <x v="0"/>
    <x v="2"/>
    <d v="2023-06-27T00:00:00"/>
    <x v="3"/>
    <x v="3"/>
    <n v="14"/>
    <x v="5"/>
    <n v="13"/>
    <n v="2"/>
    <x v="2"/>
    <n v="11"/>
    <n v="2"/>
    <x v="0"/>
  </r>
  <r>
    <s v="Device_115"/>
    <x v="0"/>
    <x v="2"/>
    <d v="2023-01-01T00:00:00"/>
    <x v="4"/>
    <x v="5"/>
    <n v="19"/>
    <x v="6"/>
    <n v="13"/>
    <n v="7"/>
    <x v="1"/>
    <n v="14"/>
    <n v="2"/>
    <x v="0"/>
  </r>
  <r>
    <s v="Device_116"/>
    <x v="0"/>
    <x v="1"/>
    <d v="2024-01-22T00:00:00"/>
    <x v="3"/>
    <x v="5"/>
    <n v="14"/>
    <x v="2"/>
    <n v="15"/>
    <n v="3"/>
    <x v="0"/>
    <n v="19"/>
    <n v="1"/>
    <x v="1"/>
  </r>
  <r>
    <s v="Device_117"/>
    <x v="0"/>
    <x v="1"/>
    <d v="2023-01-21T00:00:00"/>
    <x v="4"/>
    <x v="3"/>
    <n v="23"/>
    <x v="7"/>
    <n v="13"/>
    <n v="4"/>
    <x v="0"/>
    <n v="10"/>
    <n v="2"/>
    <x v="0"/>
  </r>
  <r>
    <s v="Device_118"/>
    <x v="2"/>
    <x v="5"/>
    <d v="2024-11-22T00:00:00"/>
    <x v="0"/>
    <x v="3"/>
    <n v="10"/>
    <x v="2"/>
    <n v="15"/>
    <n v="5"/>
    <x v="1"/>
    <n v="16"/>
    <n v="2"/>
    <x v="1"/>
  </r>
  <r>
    <s v="Device_119"/>
    <x v="2"/>
    <x v="1"/>
    <d v="2024-04-15T00:00:00"/>
    <x v="2"/>
    <x v="5"/>
    <n v="10"/>
    <x v="2"/>
    <n v="9"/>
    <n v="2"/>
    <x v="1"/>
    <n v="14"/>
    <n v="5"/>
    <x v="1"/>
  </r>
  <r>
    <s v="Device_120"/>
    <x v="3"/>
    <x v="1"/>
    <d v="2023-10-18T00:00:00"/>
    <x v="1"/>
    <x v="6"/>
    <n v="10"/>
    <x v="2"/>
    <n v="5"/>
    <n v="2"/>
    <x v="3"/>
    <n v="19"/>
    <n v="3"/>
    <x v="0"/>
  </r>
  <r>
    <s v="Device_121"/>
    <x v="1"/>
    <x v="2"/>
    <d v="2023-01-09T00:00:00"/>
    <x v="4"/>
    <x v="0"/>
    <n v="39"/>
    <x v="8"/>
    <n v="5"/>
    <n v="5"/>
    <x v="2"/>
    <n v="18"/>
    <n v="3"/>
    <x v="0"/>
  </r>
  <r>
    <s v="Device_122"/>
    <x v="0"/>
    <x v="5"/>
    <d v="2023-12-05T00:00:00"/>
    <x v="3"/>
    <x v="7"/>
    <n v="35"/>
    <x v="2"/>
    <n v="13"/>
    <n v="2"/>
    <x v="3"/>
    <n v="11"/>
    <n v="5"/>
    <x v="0"/>
  </r>
  <r>
    <s v="Device_123"/>
    <x v="3"/>
    <x v="5"/>
    <d v="2024-01-24T00:00:00"/>
    <x v="0"/>
    <x v="3"/>
    <n v="16"/>
    <x v="9"/>
    <n v="14"/>
    <n v="13"/>
    <x v="2"/>
    <n v="11"/>
    <n v="2"/>
    <x v="1"/>
  </r>
  <r>
    <s v="Device_124"/>
    <x v="0"/>
    <x v="3"/>
    <d v="2024-09-17T00:00:00"/>
    <x v="5"/>
    <x v="8"/>
    <n v="20"/>
    <x v="10"/>
    <n v="5"/>
    <n v="6"/>
    <x v="0"/>
    <n v="11"/>
    <n v="5"/>
    <x v="1"/>
  </r>
  <r>
    <s v="Device_125"/>
    <x v="0"/>
    <x v="0"/>
    <d v="2023-04-23T00:00:00"/>
    <x v="2"/>
    <x v="6"/>
    <n v="46"/>
    <x v="8"/>
    <n v="11"/>
    <n v="2"/>
    <x v="2"/>
    <n v="10"/>
    <n v="5"/>
    <x v="0"/>
  </r>
  <r>
    <s v="Device_126"/>
    <x v="0"/>
    <x v="3"/>
    <d v="2024-02-18T00:00:00"/>
    <x v="3"/>
    <x v="9"/>
    <n v="50"/>
    <x v="0"/>
    <n v="8"/>
    <n v="3"/>
    <x v="0"/>
    <n v="15"/>
    <n v="4"/>
    <x v="1"/>
  </r>
  <r>
    <s v="Device_127"/>
    <x v="3"/>
    <x v="4"/>
    <d v="2023-11-07T00:00:00"/>
    <x v="4"/>
    <x v="7"/>
    <n v="16"/>
    <x v="11"/>
    <n v="6"/>
    <n v="9"/>
    <x v="3"/>
    <n v="18"/>
    <n v="1"/>
    <x v="0"/>
  </r>
  <r>
    <s v="Device_128"/>
    <x v="1"/>
    <x v="1"/>
    <d v="2023-10-10T00:00:00"/>
    <x v="2"/>
    <x v="2"/>
    <n v="10"/>
    <x v="11"/>
    <n v="9"/>
    <n v="7"/>
    <x v="2"/>
    <n v="19"/>
    <n v="4"/>
    <x v="0"/>
  </r>
  <r>
    <s v="Device_129"/>
    <x v="2"/>
    <x v="4"/>
    <d v="2023-11-13T00:00:00"/>
    <x v="0"/>
    <x v="10"/>
    <n v="10"/>
    <x v="3"/>
    <n v="12"/>
    <n v="5"/>
    <x v="1"/>
    <n v="18"/>
    <n v="2"/>
    <x v="0"/>
  </r>
  <r>
    <s v="Device_130"/>
    <x v="0"/>
    <x v="4"/>
    <d v="2024-07-07T00:00:00"/>
    <x v="3"/>
    <x v="11"/>
    <n v="13"/>
    <x v="3"/>
    <n v="14"/>
    <n v="8"/>
    <x v="0"/>
    <n v="13"/>
    <n v="1"/>
    <x v="1"/>
  </r>
  <r>
    <s v="Device_131"/>
    <x v="3"/>
    <x v="5"/>
    <d v="2024-01-07T00:00:00"/>
    <x v="5"/>
    <x v="12"/>
    <n v="16"/>
    <x v="3"/>
    <n v="11"/>
    <n v="6"/>
    <x v="0"/>
    <n v="15"/>
    <n v="1"/>
    <x v="1"/>
  </r>
  <r>
    <s v="Device_132"/>
    <x v="3"/>
    <x v="1"/>
    <d v="2023-12-27T00:00:00"/>
    <x v="4"/>
    <x v="6"/>
    <n v="16"/>
    <x v="12"/>
    <n v="6"/>
    <n v="2"/>
    <x v="1"/>
    <n v="17"/>
    <n v="4"/>
    <x v="0"/>
  </r>
  <r>
    <s v="Device_133"/>
    <x v="2"/>
    <x v="2"/>
    <d v="2024-04-08T00:00:00"/>
    <x v="0"/>
    <x v="6"/>
    <n v="10"/>
    <x v="3"/>
    <n v="9"/>
    <n v="4"/>
    <x v="1"/>
    <n v="15"/>
    <n v="1"/>
    <x v="1"/>
  </r>
  <r>
    <s v="Device_134"/>
    <x v="1"/>
    <x v="1"/>
    <d v="2023-07-02T00:00:00"/>
    <x v="6"/>
    <x v="13"/>
    <n v="18"/>
    <x v="13"/>
    <n v="9"/>
    <n v="7"/>
    <x v="0"/>
    <n v="16"/>
    <n v="5"/>
    <x v="0"/>
  </r>
  <r>
    <s v="Device_135"/>
    <x v="0"/>
    <x v="5"/>
    <d v="2023-09-19T00:00:00"/>
    <x v="3"/>
    <x v="2"/>
    <n v="42"/>
    <x v="14"/>
    <n v="9"/>
    <n v="4"/>
    <x v="2"/>
    <n v="12"/>
    <n v="5"/>
    <x v="0"/>
  </r>
  <r>
    <s v="Device_136"/>
    <x v="3"/>
    <x v="2"/>
    <d v="2024-07-02T00:00:00"/>
    <x v="5"/>
    <x v="2"/>
    <n v="16"/>
    <x v="15"/>
    <n v="11"/>
    <n v="5"/>
    <x v="0"/>
    <n v="19"/>
    <n v="2"/>
    <x v="1"/>
  </r>
  <r>
    <s v="Device_137"/>
    <x v="0"/>
    <x v="4"/>
    <d v="2023-08-10T00:00:00"/>
    <x v="4"/>
    <x v="12"/>
    <n v="17"/>
    <x v="6"/>
    <n v="14"/>
    <n v="4"/>
    <x v="3"/>
    <n v="18"/>
    <n v="3"/>
    <x v="0"/>
  </r>
  <r>
    <s v="Device_138"/>
    <x v="1"/>
    <x v="1"/>
    <d v="2024-06-13T00:00:00"/>
    <x v="0"/>
    <x v="13"/>
    <n v="18"/>
    <x v="3"/>
    <n v="6"/>
    <n v="6"/>
    <x v="1"/>
    <n v="15"/>
    <n v="1"/>
    <x v="1"/>
  </r>
  <r>
    <s v="Device_139"/>
    <x v="2"/>
    <x v="3"/>
    <d v="2024-11-23T00:00:00"/>
    <x v="6"/>
    <x v="14"/>
    <n v="50"/>
    <x v="3"/>
    <n v="11"/>
    <n v="3"/>
    <x v="2"/>
    <n v="13"/>
    <n v="4"/>
    <x v="1"/>
  </r>
  <r>
    <s v="Device_140"/>
    <x v="0"/>
    <x v="0"/>
    <d v="2023-05-27T00:00:00"/>
    <x v="5"/>
    <x v="3"/>
    <n v="41"/>
    <x v="3"/>
    <n v="12"/>
    <n v="4"/>
    <x v="0"/>
    <n v="12"/>
    <n v="3"/>
    <x v="0"/>
  </r>
  <r>
    <s v="Device_141"/>
    <x v="3"/>
    <x v="5"/>
    <d v="2023-02-21T00:00:00"/>
    <x v="3"/>
    <x v="15"/>
    <n v="16"/>
    <x v="2"/>
    <n v="8"/>
    <n v="3"/>
    <x v="1"/>
    <n v="11"/>
    <n v="4"/>
    <x v="0"/>
  </r>
  <r>
    <s v="Device_142"/>
    <x v="0"/>
    <x v="2"/>
    <d v="2024-04-14T00:00:00"/>
    <x v="4"/>
    <x v="6"/>
    <n v="15"/>
    <x v="3"/>
    <n v="9"/>
    <n v="5"/>
    <x v="2"/>
    <n v="17"/>
    <n v="2"/>
    <x v="1"/>
  </r>
  <r>
    <s v="Device_143"/>
    <x v="0"/>
    <x v="1"/>
    <d v="2023-09-10T00:00:00"/>
    <x v="0"/>
    <x v="13"/>
    <n v="23"/>
    <x v="3"/>
    <n v="5"/>
    <n v="6"/>
    <x v="1"/>
    <n v="14"/>
    <n v="5"/>
    <x v="0"/>
  </r>
  <r>
    <s v="Device_144"/>
    <x v="3"/>
    <x v="3"/>
    <d v="2023-06-12T00:00:00"/>
    <x v="3"/>
    <x v="1"/>
    <n v="0"/>
    <x v="13"/>
    <n v="7"/>
    <n v="3"/>
    <x v="0"/>
    <n v="16"/>
    <n v="1"/>
    <x v="0"/>
  </r>
  <r>
    <s v="Device_145"/>
    <x v="2"/>
    <x v="4"/>
    <d v="2024-12-07T00:00:00"/>
    <x v="5"/>
    <x v="12"/>
    <n v="14"/>
    <x v="13"/>
    <n v="13"/>
    <n v="4"/>
    <x v="3"/>
    <n v="20"/>
    <n v="2"/>
    <x v="1"/>
  </r>
  <r>
    <s v="Device_146"/>
    <x v="0"/>
    <x v="4"/>
    <d v="2023-03-10T00:00:00"/>
    <x v="6"/>
    <x v="0"/>
    <n v="12"/>
    <x v="13"/>
    <n v="10"/>
    <n v="7"/>
    <x v="1"/>
    <n v="18"/>
    <n v="1"/>
    <x v="0"/>
  </r>
  <r>
    <s v="Device_147"/>
    <x v="3"/>
    <x v="5"/>
    <d v="2024-05-14T00:00:00"/>
    <x v="4"/>
    <x v="10"/>
    <n v="16"/>
    <x v="16"/>
    <n v="12"/>
    <n v="5"/>
    <x v="3"/>
    <n v="16"/>
    <n v="4"/>
    <x v="1"/>
  </r>
  <r>
    <s v="Device_148"/>
    <x v="2"/>
    <x v="1"/>
    <d v="2024-07-18T00:00:00"/>
    <x v="0"/>
    <x v="13"/>
    <n v="23"/>
    <x v="13"/>
    <n v="7"/>
    <n v="8"/>
    <x v="0"/>
    <n v="17"/>
    <n v="2"/>
    <x v="1"/>
  </r>
  <r>
    <s v="Device_149"/>
    <x v="1"/>
    <x v="0"/>
    <d v="2023-12-23T00:00:00"/>
    <x v="5"/>
    <x v="6"/>
    <n v="18"/>
    <x v="13"/>
    <n v="10"/>
    <n v="6"/>
    <x v="1"/>
    <n v="19"/>
    <n v="1"/>
    <x v="0"/>
  </r>
  <r>
    <s v="Device_150"/>
    <x v="0"/>
    <x v="3"/>
    <d v="2023-08-29T00:00:00"/>
    <x v="6"/>
    <x v="4"/>
    <n v="15"/>
    <x v="13"/>
    <n v="13"/>
    <n v="4"/>
    <x v="2"/>
    <n v="11"/>
    <n v="2"/>
    <x v="0"/>
  </r>
  <r>
    <s v="Device_151"/>
    <x v="0"/>
    <x v="2"/>
    <d v="2023-10-13T00:00:00"/>
    <x v="3"/>
    <x v="12"/>
    <n v="23"/>
    <x v="13"/>
    <n v="9"/>
    <n v="5"/>
    <x v="0"/>
    <n v="15"/>
    <n v="5"/>
    <x v="0"/>
  </r>
  <r>
    <s v="Device_152"/>
    <x v="3"/>
    <x v="4"/>
    <d v="2024-11-12T00:00:00"/>
    <x v="4"/>
    <x v="11"/>
    <n v="16"/>
    <x v="2"/>
    <n v="6"/>
    <n v="2"/>
    <x v="0"/>
    <n v="14"/>
    <n v="3"/>
    <x v="1"/>
  </r>
  <r>
    <s v="Device_153"/>
    <x v="2"/>
    <x v="1"/>
    <d v="2023-01-20T00:00:00"/>
    <x v="5"/>
    <x v="10"/>
    <n v="23"/>
    <x v="13"/>
    <n v="11"/>
    <n v="6"/>
    <x v="2"/>
    <n v="13"/>
    <n v="5"/>
    <x v="0"/>
  </r>
  <r>
    <s v="Device_154"/>
    <x v="0"/>
    <x v="5"/>
    <d v="2024-04-11T00:00:00"/>
    <x v="0"/>
    <x v="0"/>
    <n v="40"/>
    <x v="13"/>
    <n v="12"/>
    <n v="4"/>
    <x v="0"/>
    <n v="12"/>
    <n v="4"/>
    <x v="1"/>
  </r>
  <r>
    <s v="Device_155"/>
    <x v="2"/>
    <x v="2"/>
    <d v="2023-07-22T00:00:00"/>
    <x v="6"/>
    <x v="6"/>
    <n v="23"/>
    <x v="13"/>
    <n v="15"/>
    <n v="5"/>
    <x v="3"/>
    <n v="19"/>
    <n v="3"/>
    <x v="0"/>
  </r>
  <r>
    <s v="Device_156"/>
    <x v="0"/>
    <x v="3"/>
    <d v="2023-03-18T00:00:00"/>
    <x v="3"/>
    <x v="8"/>
    <n v="25"/>
    <x v="13"/>
    <n v="11"/>
    <n v="5"/>
    <x v="1"/>
    <n v="18"/>
    <n v="4"/>
    <x v="0"/>
  </r>
  <r>
    <s v="Device_157"/>
    <x v="2"/>
    <x v="0"/>
    <d v="2024-02-26T00:00:00"/>
    <x v="4"/>
    <x v="10"/>
    <n v="23"/>
    <x v="17"/>
    <n v="15"/>
    <n v="6"/>
    <x v="2"/>
    <n v="16"/>
    <n v="1"/>
    <x v="1"/>
  </r>
  <r>
    <s v="Device_158"/>
    <x v="3"/>
    <x v="4"/>
    <d v="2024-12-17T00:00:00"/>
    <x v="0"/>
    <x v="15"/>
    <n v="15"/>
    <x v="13"/>
    <n v="7"/>
    <n v="5"/>
    <x v="3"/>
    <n v="15"/>
    <n v="3"/>
    <x v="1"/>
  </r>
  <r>
    <s v="Device_159"/>
    <x v="0"/>
    <x v="5"/>
    <d v="2023-05-10T00:00:00"/>
    <x v="5"/>
    <x v="13"/>
    <n v="23"/>
    <x v="13"/>
    <n v="6"/>
    <n v="3"/>
    <x v="0"/>
    <n v="17"/>
    <n v="2"/>
    <x v="0"/>
  </r>
  <r>
    <s v="Device_160"/>
    <x v="0"/>
    <x v="2"/>
    <d v="2024-09-24T00:00:00"/>
    <x v="6"/>
    <x v="0"/>
    <n v="36"/>
    <x v="13"/>
    <n v="9"/>
    <n v="7"/>
    <x v="1"/>
    <n v="13"/>
    <n v="5"/>
    <x v="1"/>
  </r>
  <r>
    <s v="Device_161"/>
    <x v="1"/>
    <x v="1"/>
    <d v="2023-02-14T00:00:00"/>
    <x v="3"/>
    <x v="12"/>
    <n v="18"/>
    <x v="13"/>
    <n v="8"/>
    <n v="6"/>
    <x v="2"/>
    <n v="19"/>
    <n v="4"/>
    <x v="0"/>
  </r>
  <r>
    <s v="Device_162"/>
    <x v="3"/>
    <x v="3"/>
    <d v="2024-12-28T00:00:00"/>
    <x v="4"/>
    <x v="9"/>
    <n v="40"/>
    <x v="13"/>
    <n v="10"/>
    <n v="5"/>
    <x v="3"/>
    <n v="14"/>
    <n v="3"/>
    <x v="1"/>
  </r>
  <r>
    <s v="Device_163"/>
    <x v="2"/>
    <x v="4"/>
    <d v="2024-06-12T00:00:00"/>
    <x v="6"/>
    <x v="2"/>
    <n v="23"/>
    <x v="14"/>
    <n v="12"/>
    <n v="8"/>
    <x v="0"/>
    <n v="12"/>
    <n v="5"/>
    <x v="1"/>
  </r>
  <r>
    <s v="Device_164"/>
    <x v="0"/>
    <x v="5"/>
    <d v="2023-07-10T00:00:00"/>
    <x v="0"/>
    <x v="3"/>
    <n v="41"/>
    <x v="14"/>
    <n v="13"/>
    <n v="4"/>
    <x v="3"/>
    <n v="16"/>
    <n v="2"/>
    <x v="0"/>
  </r>
  <r>
    <s v="Device_165"/>
    <x v="0"/>
    <x v="2"/>
    <d v="2023-11-22T00:00:00"/>
    <x v="5"/>
    <x v="10"/>
    <n v="23"/>
    <x v="12"/>
    <n v="14"/>
    <n v="5"/>
    <x v="2"/>
    <n v="17"/>
    <n v="3"/>
    <x v="0"/>
  </r>
  <r>
    <s v="Device_166"/>
    <x v="3"/>
    <x v="1"/>
    <d v="2023-01-24T00:00:00"/>
    <x v="3"/>
    <x v="3"/>
    <n v="20"/>
    <x v="14"/>
    <n v="9"/>
    <n v="4"/>
    <x v="0"/>
    <n v="14"/>
    <n v="2"/>
    <x v="0"/>
  </r>
  <r>
    <s v="Device_167"/>
    <x v="0"/>
    <x v="0"/>
    <d v="2023-04-09T00:00:00"/>
    <x v="5"/>
    <x v="11"/>
    <n v="46"/>
    <x v="5"/>
    <n v="15"/>
    <n v="6"/>
    <x v="1"/>
    <n v="16"/>
    <n v="4"/>
    <x v="0"/>
  </r>
  <r>
    <s v="Device_168"/>
    <x v="2"/>
    <x v="4"/>
    <d v="2023-11-22T00:00:00"/>
    <x v="0"/>
    <x v="0"/>
    <n v="13"/>
    <x v="14"/>
    <n v="10"/>
    <n v="8"/>
    <x v="2"/>
    <n v="19"/>
    <n v="1"/>
    <x v="0"/>
  </r>
  <r>
    <s v="Device_169"/>
    <x v="0"/>
    <x v="5"/>
    <d v="2023-10-23T00:00:00"/>
    <x v="6"/>
    <x v="13"/>
    <n v="23"/>
    <x v="14"/>
    <n v="7"/>
    <n v="5"/>
    <x v="3"/>
    <n v="11"/>
    <n v="3"/>
    <x v="0"/>
  </r>
  <r>
    <s v="Device_170"/>
    <x v="1"/>
    <x v="3"/>
    <d v="2023-02-25T00:00:00"/>
    <x v="3"/>
    <x v="14"/>
    <n v="50"/>
    <x v="18"/>
    <n v="9"/>
    <n v="3"/>
    <x v="0"/>
    <n v="15"/>
    <n v="2"/>
    <x v="0"/>
  </r>
  <r>
    <s v="Device_171"/>
    <x v="0"/>
    <x v="2"/>
    <d v="2024-07-08T00:00:00"/>
    <x v="1"/>
    <x v="10"/>
    <n v="15"/>
    <x v="14"/>
    <n v="12"/>
    <n v="7"/>
    <x v="1"/>
    <n v="17"/>
    <n v="5"/>
    <x v="1"/>
  </r>
  <r>
    <s v="Device_172"/>
    <x v="3"/>
    <x v="1"/>
    <d v="2023-05-10T00:00:00"/>
    <x v="5"/>
    <x v="15"/>
    <n v="20"/>
    <x v="14"/>
    <n v="11"/>
    <n v="6"/>
    <x v="3"/>
    <n v="12"/>
    <n v="1"/>
    <x v="0"/>
  </r>
  <r>
    <s v="Device_173"/>
    <x v="0"/>
    <x v="0"/>
    <d v="2023-09-09T00:00:00"/>
    <x v="0"/>
    <x v="3"/>
    <n v="23"/>
    <x v="14"/>
    <n v="8"/>
    <n v="7"/>
    <x v="2"/>
    <n v="13"/>
    <n v="4"/>
    <x v="0"/>
  </r>
  <r>
    <s v="Device_174"/>
    <x v="1"/>
    <x v="4"/>
    <d v="2024-03-12T00:00:00"/>
    <x v="1"/>
    <x v="2"/>
    <n v="18"/>
    <x v="14"/>
    <n v="10"/>
    <n v="5"/>
    <x v="0"/>
    <n v="18"/>
    <n v="3"/>
    <x v="1"/>
  </r>
  <r>
    <s v="Device_175"/>
    <x v="0"/>
    <x v="2"/>
    <d v="2023-12-03T00:00:00"/>
    <x v="6"/>
    <x v="6"/>
    <n v="44"/>
    <x v="14"/>
    <n v="13"/>
    <n v="5"/>
    <x v="3"/>
    <n v="20"/>
    <n v="2"/>
    <x v="0"/>
  </r>
  <r>
    <s v="Device_176"/>
    <x v="2"/>
    <x v="3"/>
    <d v="2024-03-19T00:00:00"/>
    <x v="3"/>
    <x v="1"/>
    <n v="0"/>
    <x v="14"/>
    <n v="8"/>
    <n v="6"/>
    <x v="1"/>
    <n v="12"/>
    <n v="2"/>
    <x v="1"/>
  </r>
  <r>
    <s v="Device_177"/>
    <x v="0"/>
    <x v="2"/>
    <d v="2023-07-11T00:00:00"/>
    <x v="5"/>
    <x v="2"/>
    <n v="38"/>
    <x v="1"/>
    <n v="10"/>
    <n v="4"/>
    <x v="2"/>
    <n v="18"/>
    <n v="3"/>
    <x v="0"/>
  </r>
  <r>
    <s v="Device_178"/>
    <x v="3"/>
    <x v="4"/>
    <d v="2024-11-21T00:00:00"/>
    <x v="3"/>
    <x v="3"/>
    <n v="20"/>
    <x v="14"/>
    <n v="13"/>
    <n v="5"/>
    <x v="3"/>
    <n v="17"/>
    <n v="1"/>
    <x v="1"/>
  </r>
  <r>
    <s v="Device_179"/>
    <x v="1"/>
    <x v="5"/>
    <d v="2023-12-22T00:00:00"/>
    <x v="5"/>
    <x v="10"/>
    <n v="18"/>
    <x v="5"/>
    <n v="12"/>
    <n v="6"/>
    <x v="0"/>
    <n v="15"/>
    <n v="4"/>
    <x v="0"/>
  </r>
  <r>
    <s v="Device_180"/>
    <x v="2"/>
    <x v="0"/>
    <d v="2023-01-16T00:00:00"/>
    <x v="0"/>
    <x v="11"/>
    <n v="23"/>
    <x v="14"/>
    <n v="15"/>
    <n v="4"/>
    <x v="0"/>
    <n v="14"/>
    <n v="2"/>
    <x v="0"/>
  </r>
  <r>
    <s v="Device_181"/>
    <x v="0"/>
    <x v="1"/>
    <d v="2024-07-14T00:00:00"/>
    <x v="6"/>
    <x v="0"/>
    <n v="14"/>
    <x v="14"/>
    <n v="11"/>
    <n v="8"/>
    <x v="1"/>
    <n v="19"/>
    <n v="3"/>
    <x v="1"/>
  </r>
  <r>
    <s v="Device_182"/>
    <x v="0"/>
    <x v="3"/>
    <d v="2023-11-23T00:00:00"/>
    <x v="1"/>
    <x v="4"/>
    <n v="7.5"/>
    <x v="14"/>
    <n v="14"/>
    <n v="7"/>
    <x v="3"/>
    <n v="16"/>
    <n v="5"/>
    <x v="0"/>
  </r>
  <r>
    <s v="Device_183"/>
    <x v="3"/>
    <x v="4"/>
    <d v="2023-06-17T00:00:00"/>
    <x v="5"/>
    <x v="6"/>
    <n v="10"/>
    <x v="18"/>
    <n v="8"/>
    <n v="5"/>
    <x v="2"/>
    <n v="13"/>
    <n v="2"/>
    <x v="0"/>
  </r>
  <r>
    <s v="Device_184"/>
    <x v="1"/>
    <x v="2"/>
    <d v="2024-10-22T00:00:00"/>
    <x v="0"/>
    <x v="10"/>
    <n v="18"/>
    <x v="14"/>
    <n v="12"/>
    <n v="9"/>
    <x v="0"/>
    <n v="20"/>
    <n v="1"/>
    <x v="1"/>
  </r>
  <r>
    <s v="Device_185"/>
    <x v="0"/>
    <x v="5"/>
    <d v="2023-05-25T00:00:00"/>
    <x v="2"/>
    <x v="3"/>
    <n v="46"/>
    <x v="14"/>
    <n v="11"/>
    <n v="6"/>
    <x v="3"/>
    <n v="17"/>
    <n v="4"/>
    <x v="0"/>
  </r>
  <r>
    <s v="Device_186"/>
    <x v="2"/>
    <x v="3"/>
    <d v="2023-03-19T00:00:00"/>
    <x v="3"/>
    <x v="8"/>
    <n v="25"/>
    <x v="18"/>
    <n v="8"/>
    <n v="6"/>
    <x v="1"/>
    <n v="12"/>
    <n v="2"/>
    <x v="0"/>
  </r>
  <r>
    <s v="Device_187"/>
    <x v="0"/>
    <x v="2"/>
    <d v="2023-07-11T00:00:00"/>
    <x v="1"/>
    <x v="2"/>
    <n v="38"/>
    <x v="14"/>
    <n v="10"/>
    <n v="4"/>
    <x v="2"/>
    <n v="18"/>
    <n v="3"/>
    <x v="0"/>
  </r>
  <r>
    <s v="Device_188"/>
    <x v="3"/>
    <x v="4"/>
    <d v="2024-09-15T00:00:00"/>
    <x v="4"/>
    <x v="3"/>
    <n v="20"/>
    <x v="14"/>
    <n v="13"/>
    <n v="5"/>
    <x v="3"/>
    <n v="17"/>
    <n v="1"/>
    <x v="1"/>
  </r>
  <r>
    <s v="Device_189"/>
    <x v="1"/>
    <x v="5"/>
    <d v="2024-12-22T00:00:00"/>
    <x v="0"/>
    <x v="10"/>
    <n v="36"/>
    <x v="14"/>
    <n v="12"/>
    <n v="6"/>
    <x v="0"/>
    <n v="15"/>
    <n v="4"/>
    <x v="1"/>
  </r>
  <r>
    <s v="Device_190"/>
    <x v="2"/>
    <x v="0"/>
    <d v="2024-01-18T00:00:00"/>
    <x v="1"/>
    <x v="11"/>
    <n v="23"/>
    <x v="14"/>
    <n v="15"/>
    <n v="4"/>
    <x v="0"/>
    <n v="14"/>
    <n v="2"/>
    <x v="1"/>
  </r>
  <r>
    <s v="Device_191"/>
    <x v="0"/>
    <x v="1"/>
    <d v="2023-07-14T00:00:00"/>
    <x v="2"/>
    <x v="0"/>
    <n v="14"/>
    <x v="14"/>
    <n v="11"/>
    <n v="8"/>
    <x v="1"/>
    <n v="19"/>
    <n v="3"/>
    <x v="0"/>
  </r>
  <r>
    <s v="Device_192"/>
    <x v="0"/>
    <x v="3"/>
    <d v="2023-12-23T00:00:00"/>
    <x v="3"/>
    <x v="9"/>
    <n v="22.5"/>
    <x v="14"/>
    <n v="14"/>
    <n v="7"/>
    <x v="3"/>
    <n v="16"/>
    <n v="5"/>
    <x v="0"/>
  </r>
  <r>
    <s v="Device_193"/>
    <x v="3"/>
    <x v="4"/>
    <d v="2024-06-17T00:00:00"/>
    <x v="4"/>
    <x v="6"/>
    <n v="20"/>
    <x v="14"/>
    <n v="8"/>
    <n v="5"/>
    <x v="2"/>
    <n v="13"/>
    <n v="2"/>
    <x v="1"/>
  </r>
  <r>
    <s v="Device_194"/>
    <x v="1"/>
    <x v="2"/>
    <d v="2024-10-27T00:00:00"/>
    <x v="2"/>
    <x v="10"/>
    <n v="49"/>
    <x v="14"/>
    <n v="12"/>
    <n v="9"/>
    <x v="0"/>
    <n v="20"/>
    <n v="1"/>
    <x v="1"/>
  </r>
  <r>
    <s v="Device_195"/>
    <x v="0"/>
    <x v="5"/>
    <d v="2023-05-05T00:00:00"/>
    <x v="0"/>
    <x v="3"/>
    <n v="46"/>
    <x v="14"/>
    <n v="11"/>
    <n v="6"/>
    <x v="3"/>
    <n v="17"/>
    <n v="4"/>
    <x v="0"/>
  </r>
  <r>
    <s v="Device_196"/>
    <x v="2"/>
    <x v="3"/>
    <d v="2024-03-09T00:00:00"/>
    <x v="3"/>
    <x v="14"/>
    <n v="50"/>
    <x v="14"/>
    <n v="8"/>
    <n v="6"/>
    <x v="1"/>
    <n v="12"/>
    <n v="2"/>
    <x v="1"/>
  </r>
  <r>
    <s v="Device_197"/>
    <x v="0"/>
    <x v="2"/>
    <d v="2024-07-11T00:00:00"/>
    <x v="1"/>
    <x v="2"/>
    <n v="38"/>
    <x v="14"/>
    <n v="10"/>
    <n v="4"/>
    <x v="2"/>
    <n v="18"/>
    <n v="3"/>
    <x v="1"/>
  </r>
  <r>
    <s v="Device_198"/>
    <x v="3"/>
    <x v="4"/>
    <d v="2023-09-12T00:00:00"/>
    <x v="5"/>
    <x v="3"/>
    <n v="20"/>
    <x v="6"/>
    <n v="13"/>
    <n v="5"/>
    <x v="3"/>
    <n v="17"/>
    <n v="1"/>
    <x v="0"/>
  </r>
  <r>
    <s v="Device_199"/>
    <x v="1"/>
    <x v="5"/>
    <d v="2024-12-21T00:00:00"/>
    <x v="0"/>
    <x v="10"/>
    <n v="36"/>
    <x v="14"/>
    <n v="12"/>
    <n v="6"/>
    <x v="0"/>
    <n v="15"/>
    <n v="4"/>
    <x v="1"/>
  </r>
  <r>
    <s v="Device_200"/>
    <x v="2"/>
    <x v="0"/>
    <d v="2024-01-16T00:00:00"/>
    <x v="3"/>
    <x v="11"/>
    <n v="23"/>
    <x v="14"/>
    <n v="15"/>
    <n v="4"/>
    <x v="0"/>
    <n v="14"/>
    <n v="2"/>
    <x v="1"/>
  </r>
  <r>
    <s v="Device_201"/>
    <x v="0"/>
    <x v="1"/>
    <d v="2023-07-04T00:00:00"/>
    <x v="1"/>
    <x v="0"/>
    <n v="44"/>
    <x v="14"/>
    <n v="11"/>
    <n v="8"/>
    <x v="1"/>
    <n v="19"/>
    <n v="3"/>
    <x v="0"/>
  </r>
  <r>
    <s v="Device_202"/>
    <x v="0"/>
    <x v="3"/>
    <d v="2023-11-24T00:00:00"/>
    <x v="2"/>
    <x v="8"/>
    <n v="5"/>
    <x v="14"/>
    <n v="14"/>
    <n v="7"/>
    <x v="3"/>
    <n v="16"/>
    <n v="5"/>
    <x v="0"/>
  </r>
  <r>
    <s v="Device_203"/>
    <x v="3"/>
    <x v="4"/>
    <d v="2023-06-07T00:00:00"/>
    <x v="5"/>
    <x v="6"/>
    <n v="11"/>
    <x v="1"/>
    <n v="8"/>
    <n v="5"/>
    <x v="2"/>
    <n v="13"/>
    <n v="2"/>
    <x v="0"/>
  </r>
  <r>
    <s v="Device_204"/>
    <x v="1"/>
    <x v="2"/>
    <d v="2023-10-28T00:00:00"/>
    <x v="0"/>
    <x v="10"/>
    <n v="49"/>
    <x v="19"/>
    <n v="12"/>
    <n v="9"/>
    <x v="0"/>
    <n v="2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2ED9F-5A0C-48EC-903A-7DAACF505942}" name="PivotTable3" cacheId="6" dataOnRows="1" applyNumberFormats="0" applyBorderFormats="0" applyFontFormats="0" applyPatternFormats="0" applyAlignmentFormats="0" applyWidthHeightFormats="1" dataCaption="Metrices" updatedVersion="8" minRefreshableVersion="3" useAutoFormatting="1" itemPrintTitles="1" createdVersion="8" indent="0" outline="1" outlineData="1" multipleFieldFilters="0" chartFormat="58">
  <location ref="A14:B21" firstHeaderRow="1" firstDataRow="1" firstDataCol="1"/>
  <pivotFields count="14">
    <pivotField showAll="0"/>
    <pivotField showAll="0"/>
    <pivotField showAll="0"/>
    <pivotField numFmtId="14" showAll="0"/>
    <pivotField showAll="0"/>
    <pivotField dataField="1" showAll="0"/>
    <pivotField dataField="1" showAll="0"/>
    <pivotField dataField="1" showAll="0"/>
    <pivotField dataField="1" showAll="0"/>
    <pivotField dataField="1" showAll="0"/>
    <pivotField showAll="0"/>
    <pivotField dataField="1" showAll="0"/>
    <pivotField dataField="1" showAll="0"/>
    <pivotField showAll="0">
      <items count="3">
        <item x="0"/>
        <item h="1" x="1"/>
        <item t="default"/>
      </items>
    </pivotField>
  </pivotFields>
  <rowFields count="1">
    <field x="-2"/>
  </rowFields>
  <rowItems count="7">
    <i>
      <x/>
    </i>
    <i i="1">
      <x v="1"/>
    </i>
    <i i="2">
      <x v="2"/>
    </i>
    <i i="3">
      <x v="3"/>
    </i>
    <i i="4">
      <x v="4"/>
    </i>
    <i i="5">
      <x v="5"/>
    </i>
    <i i="6">
      <x v="6"/>
    </i>
  </rowItems>
  <colItems count="1">
    <i/>
  </colItems>
  <dataFields count="7">
    <dataField name=" Total Rules" fld="5" baseField="0" baseItem="0"/>
    <dataField name=" Total Violations" fld="6" baseField="0" baseItem="0"/>
    <dataField name=" Active Violations" fld="7" baseField="0" baseItem="0"/>
    <dataField name=" Solved Violations" fld="8" baseField="0" baseItem="0"/>
    <dataField name=" Ignored Violations" fld="9" baseField="0" baseItem="0"/>
    <dataField name=" Environment Managed" fld="11" baseField="0" baseItem="0"/>
    <dataField name=" Environment Disabled" fld="12" baseField="0" baseItem="0"/>
  </dataFields>
  <formats count="7">
    <format dxfId="8">
      <pivotArea type="all" dataOnly="0" outline="0" fieldPosition="0"/>
    </format>
    <format dxfId="7">
      <pivotArea outline="0" collapsedLevelsAreSubtotals="1" fieldPosition="0"/>
    </format>
    <format dxfId="6">
      <pivotArea field="-2" type="button" dataOnly="0" labelOnly="1" outline="0" axis="axisRow" fieldPosition="0"/>
    </format>
    <format dxfId="5">
      <pivotArea dataOnly="0" labelOnly="1" outline="0" fieldPosition="0">
        <references count="1">
          <reference field="4294967294" count="7">
            <x v="0"/>
            <x v="1"/>
            <x v="2"/>
            <x v="3"/>
            <x v="4"/>
            <x v="5"/>
            <x v="6"/>
          </reference>
        </references>
      </pivotArea>
    </format>
    <format dxfId="4">
      <pivotArea dataOnly="0" labelOnly="1" grandCol="1" outline="0" axis="axisCol" fieldPosition="0"/>
    </format>
    <format dxfId="3">
      <pivotArea field="-2" type="button" dataOnly="0" labelOnly="1" outline="0" axis="axisRow" fieldPosition="0"/>
    </format>
    <format dxfId="2">
      <pivotArea dataOnly="0" labelOnly="1" grandCol="1" outline="0" axis="axisCol" fieldPosition="0"/>
    </format>
  </formats>
  <chartFormats count="2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1">
          <reference field="4294967294" count="1" selected="0">
            <x v="0"/>
          </reference>
        </references>
      </pivotArea>
    </chartFormat>
    <chartFormat chart="14" format="3">
      <pivotArea type="data" outline="0" fieldPosition="0">
        <references count="1">
          <reference field="4294967294" count="1" selected="0">
            <x v="1"/>
          </reference>
        </references>
      </pivotArea>
    </chartFormat>
    <chartFormat chart="14" format="4">
      <pivotArea type="data" outline="0" fieldPosition="0">
        <references count="1">
          <reference field="4294967294" count="1" selected="0">
            <x v="2"/>
          </reference>
        </references>
      </pivotArea>
    </chartFormat>
    <chartFormat chart="14" format="5">
      <pivotArea type="data" outline="0" fieldPosition="0">
        <references count="1">
          <reference field="4294967294" count="1" selected="0">
            <x v="3"/>
          </reference>
        </references>
      </pivotArea>
    </chartFormat>
    <chartFormat chart="14" format="6">
      <pivotArea type="data" outline="0" fieldPosition="0">
        <references count="1">
          <reference field="4294967294" count="1" selected="0">
            <x v="4"/>
          </reference>
        </references>
      </pivotArea>
    </chartFormat>
    <chartFormat chart="14" format="7">
      <pivotArea type="data" outline="0" fieldPosition="0">
        <references count="1">
          <reference field="4294967294" count="1" selected="0">
            <x v="5"/>
          </reference>
        </references>
      </pivotArea>
    </chartFormat>
    <chartFormat chart="14" format="8">
      <pivotArea type="data" outline="0" fieldPosition="0">
        <references count="1">
          <reference field="4294967294" count="1" selected="0">
            <x v="6"/>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1">
          <reference field="4294967294" count="1" selected="0">
            <x v="0"/>
          </reference>
        </references>
      </pivotArea>
    </chartFormat>
    <chartFormat chart="15" format="11">
      <pivotArea type="data" outline="0" fieldPosition="0">
        <references count="1">
          <reference field="4294967294" count="1" selected="0">
            <x v="1"/>
          </reference>
        </references>
      </pivotArea>
    </chartFormat>
    <chartFormat chart="15" format="12">
      <pivotArea type="data" outline="0" fieldPosition="0">
        <references count="1">
          <reference field="4294967294" count="1" selected="0">
            <x v="2"/>
          </reference>
        </references>
      </pivotArea>
    </chartFormat>
    <chartFormat chart="15" format="13">
      <pivotArea type="data" outline="0" fieldPosition="0">
        <references count="1">
          <reference field="4294967294" count="1" selected="0">
            <x v="3"/>
          </reference>
        </references>
      </pivotArea>
    </chartFormat>
    <chartFormat chart="15" format="14">
      <pivotArea type="data" outline="0" fieldPosition="0">
        <references count="1">
          <reference field="4294967294" count="1" selected="0">
            <x v="4"/>
          </reference>
        </references>
      </pivotArea>
    </chartFormat>
    <chartFormat chart="15" format="15">
      <pivotArea type="data" outline="0" fieldPosition="0">
        <references count="1">
          <reference field="4294967294" count="1" selected="0">
            <x v="5"/>
          </reference>
        </references>
      </pivotArea>
    </chartFormat>
    <chartFormat chart="15" format="16">
      <pivotArea type="data" outline="0" fieldPosition="0">
        <references count="1">
          <reference field="4294967294" count="1" selected="0">
            <x v="6"/>
          </reference>
        </references>
      </pivotArea>
    </chartFormat>
    <chartFormat chart="3" format="1">
      <pivotArea type="data" outline="0" fieldPosition="0">
        <references count="1">
          <reference field="4294967294" count="1" selected="0">
            <x v="0"/>
          </reference>
        </references>
      </pivotArea>
    </chartFormat>
    <chartFormat chart="3" format="2">
      <pivotArea type="data" outline="0" fieldPosition="0">
        <references count="1">
          <reference field="4294967294" count="1" selected="0">
            <x v="1"/>
          </reference>
        </references>
      </pivotArea>
    </chartFormat>
    <chartFormat chart="3" format="3">
      <pivotArea type="data" outline="0" fieldPosition="0">
        <references count="1">
          <reference field="4294967294" count="1" selected="0">
            <x v="2"/>
          </reference>
        </references>
      </pivotArea>
    </chartFormat>
    <chartFormat chart="3" format="4">
      <pivotArea type="data" outline="0" fieldPosition="0">
        <references count="1">
          <reference field="4294967294" count="1" selected="0">
            <x v="3"/>
          </reference>
        </references>
      </pivotArea>
    </chartFormat>
    <chartFormat chart="3" format="5">
      <pivotArea type="data" outline="0" fieldPosition="0">
        <references count="1">
          <reference field="4294967294" count="1" selected="0">
            <x v="4"/>
          </reference>
        </references>
      </pivotArea>
    </chartFormat>
    <chartFormat chart="3" format="6">
      <pivotArea type="data" outline="0" fieldPosition="0">
        <references count="1">
          <reference field="4294967294" count="1" selected="0">
            <x v="5"/>
          </reference>
        </references>
      </pivotArea>
    </chartFormat>
    <chartFormat chart="3" format="7">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1FA63-4A1A-48BC-AE12-84623AD76132}" name="PivotTable2" cacheId="6"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0" firstHeaderRow="1" firstDataRow="1" firstDataCol="1"/>
  <pivotFields count="14">
    <pivotField showAll="0"/>
    <pivotField showAll="0"/>
    <pivotField showAll="0"/>
    <pivotField numFmtId="14" showAll="0"/>
    <pivotField showAll="0"/>
    <pivotField dataField="1" showAll="0"/>
    <pivotField dataField="1" showAll="0"/>
    <pivotField dataField="1" showAll="0"/>
    <pivotField dataField="1" showAll="0"/>
    <pivotField dataField="1" showAll="0"/>
    <pivotField showAll="0"/>
    <pivotField dataField="1" showAll="0"/>
    <pivotField dataField="1" showAll="0"/>
    <pivotField showAll="0">
      <items count="3">
        <item x="0"/>
        <item h="1" x="1"/>
        <item t="default"/>
      </items>
    </pivotField>
  </pivotFields>
  <rowFields count="1">
    <field x="-2"/>
  </rowFields>
  <rowItems count="7">
    <i>
      <x/>
    </i>
    <i i="1">
      <x v="1"/>
    </i>
    <i i="2">
      <x v="2"/>
    </i>
    <i i="3">
      <x v="3"/>
    </i>
    <i i="4">
      <x v="4"/>
    </i>
    <i i="5">
      <x v="5"/>
    </i>
    <i i="6">
      <x v="6"/>
    </i>
  </rowItems>
  <colItems count="1">
    <i/>
  </colItems>
  <dataFields count="7">
    <dataField name=" Total Rules" fld="5" baseField="0" baseItem="0"/>
    <dataField name=" Total Violations" fld="6" baseField="0" baseItem="0"/>
    <dataField name=" Active Violations" fld="7" baseField="0" baseItem="0"/>
    <dataField name=" Solved Violations" fld="8" baseField="0" baseItem="0"/>
    <dataField name=" Ignored Violations" fld="9" baseField="0" baseItem="0"/>
    <dataField name=" Environment Managed" fld="11" baseField="0" baseItem="0"/>
    <dataField name=" Environment Disabl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A0B8E5-1FD4-4C96-8BC8-75347B79188A}" name="PivotTable4" cacheId="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E11" firstHeaderRow="1" firstDataRow="1" firstDataCol="1"/>
  <pivotFields count="14">
    <pivotField showAll="0"/>
    <pivotField showAll="0"/>
    <pivotField axis="axisRow" showAll="0" sortType="ascending">
      <items count="7">
        <item x="0"/>
        <item x="5"/>
        <item x="4"/>
        <item x="2"/>
        <item x="1"/>
        <item x="3"/>
        <item t="default"/>
      </items>
    </pivotField>
    <pivotField numFmtId="14" showAll="0"/>
    <pivotField showAll="0"/>
    <pivotField showAll="0">
      <items count="17">
        <item x="7"/>
        <item x="13"/>
        <item x="11"/>
        <item x="12"/>
        <item x="15"/>
        <item x="2"/>
        <item x="0"/>
        <item x="6"/>
        <item x="3"/>
        <item x="10"/>
        <item x="5"/>
        <item x="1"/>
        <item x="14"/>
        <item x="4"/>
        <item x="8"/>
        <item x="9"/>
        <item t="default"/>
      </items>
    </pivotField>
    <pivotField dataField="1" showAll="0"/>
    <pivotField showAll="0">
      <items count="21">
        <item x="5"/>
        <item x="14"/>
        <item x="18"/>
        <item x="12"/>
        <item x="1"/>
        <item x="6"/>
        <item x="13"/>
        <item x="17"/>
        <item x="2"/>
        <item x="19"/>
        <item x="3"/>
        <item x="7"/>
        <item x="11"/>
        <item x="4"/>
        <item x="8"/>
        <item x="16"/>
        <item x="0"/>
        <item x="9"/>
        <item x="15"/>
        <item x="10"/>
        <item t="default"/>
      </items>
    </pivotField>
    <pivotField showAll="0"/>
    <pivotField showAll="0"/>
    <pivotField showAll="0"/>
    <pivotField showAll="0"/>
    <pivotField showAll="0"/>
    <pivotField showAll="0">
      <items count="3">
        <item x="0"/>
        <item h="1" x="1"/>
        <item t="default"/>
      </items>
    </pivotField>
  </pivotFields>
  <rowFields count="1">
    <field x="2"/>
  </rowFields>
  <rowItems count="7">
    <i>
      <x/>
    </i>
    <i>
      <x v="1"/>
    </i>
    <i>
      <x v="2"/>
    </i>
    <i>
      <x v="3"/>
    </i>
    <i>
      <x v="4"/>
    </i>
    <i>
      <x v="5"/>
    </i>
    <i t="grand">
      <x/>
    </i>
  </rowItems>
  <colItems count="1">
    <i/>
  </colItems>
  <dataFields count="1">
    <dataField name=" Total Violations" fld="6"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6B258E-1797-4483-8AA7-4CA45E1A67AE}"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4:K9" firstHeaderRow="0" firstDataRow="1" firstDataCol="1"/>
  <pivotFields count="14">
    <pivotField showAll="0"/>
    <pivotField showAll="0"/>
    <pivotField showAll="0"/>
    <pivotField numFmtId="14" showAll="0"/>
    <pivotField showAll="0"/>
    <pivotField showAll="0"/>
    <pivotField showAll="0"/>
    <pivotField dataField="1" showAll="0"/>
    <pivotField dataField="1" showAll="0"/>
    <pivotField showAll="0"/>
    <pivotField axis="axisRow" showAll="0">
      <items count="5">
        <item x="3"/>
        <item x="2"/>
        <item x="0"/>
        <item x="1"/>
        <item t="default"/>
      </items>
    </pivotField>
    <pivotField showAll="0"/>
    <pivotField showAll="0"/>
    <pivotField showAll="0">
      <items count="3">
        <item x="0"/>
        <item h="1" x="1"/>
        <item t="default"/>
      </items>
    </pivotField>
  </pivotFields>
  <rowFields count="1">
    <field x="10"/>
  </rowFields>
  <rowItems count="5">
    <i>
      <x/>
    </i>
    <i>
      <x v="1"/>
    </i>
    <i>
      <x v="2"/>
    </i>
    <i>
      <x v="3"/>
    </i>
    <i t="grand">
      <x/>
    </i>
  </rowItems>
  <colFields count="1">
    <field x="-2"/>
  </colFields>
  <colItems count="2">
    <i>
      <x/>
    </i>
    <i i="1">
      <x v="1"/>
    </i>
  </colItems>
  <dataFields count="2">
    <dataField name="Sum of Active Violations" fld="7" baseField="0" baseItem="0"/>
    <dataField name="Sum of Solved Violations" fld="8"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6B91F7-ED1E-40C3-A542-384A9945479E}"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14:J19" firstHeaderRow="1" firstDataRow="1" firstDataCol="1"/>
  <pivotFields count="14">
    <pivotField showAll="0"/>
    <pivotField axis="axisRow" showAll="0">
      <items count="5">
        <item x="1"/>
        <item x="2"/>
        <item x="3"/>
        <item x="0"/>
        <item t="default"/>
      </items>
    </pivotField>
    <pivotField showAll="0"/>
    <pivotField numFmtId="14" showAll="0"/>
    <pivotField showAll="0"/>
    <pivotField showAll="0"/>
    <pivotField dataField="1" showAll="0"/>
    <pivotField showAll="0"/>
    <pivotField showAll="0"/>
    <pivotField showAll="0"/>
    <pivotField showAll="0"/>
    <pivotField showAll="0"/>
    <pivotField showAll="0"/>
    <pivotField showAll="0">
      <items count="3">
        <item x="0"/>
        <item h="1" x="1"/>
        <item t="default"/>
      </items>
    </pivotField>
  </pivotFields>
  <rowFields count="1">
    <field x="1"/>
  </rowFields>
  <rowItems count="5">
    <i>
      <x/>
    </i>
    <i>
      <x v="1"/>
    </i>
    <i>
      <x v="2"/>
    </i>
    <i>
      <x v="3"/>
    </i>
    <i t="grand">
      <x/>
    </i>
  </rowItems>
  <colItems count="1">
    <i/>
  </colItems>
  <dataFields count="1">
    <dataField name="Sum of Total Violations" fld="6"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62E329-3896-4827-99A2-BA88F691FD68}"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2:K27" firstHeaderRow="1" firstDataRow="1" firstDataCol="1"/>
  <pivotFields count="14">
    <pivotField showAll="0"/>
    <pivotField axis="axisRow" showAll="0" sortType="descending">
      <items count="5">
        <item x="0"/>
        <item x="3"/>
        <item x="2"/>
        <item x="1"/>
        <item t="default"/>
      </items>
    </pivotField>
    <pivotField showAll="0"/>
    <pivotField numFmtId="14" showAll="0"/>
    <pivotField showAll="0"/>
    <pivotField showAll="0"/>
    <pivotField showAll="0"/>
    <pivotField showAll="0"/>
    <pivotField dataField="1" showAll="0"/>
    <pivotField showAll="0"/>
    <pivotField showAll="0"/>
    <pivotField showAll="0"/>
    <pivotField showAll="0"/>
    <pivotField showAll="0">
      <items count="3">
        <item x="0"/>
        <item h="1" x="1"/>
        <item t="default"/>
      </items>
    </pivotField>
  </pivotFields>
  <rowFields count="1">
    <field x="1"/>
  </rowFields>
  <rowItems count="5">
    <i>
      <x/>
    </i>
    <i>
      <x v="1"/>
    </i>
    <i>
      <x v="2"/>
    </i>
    <i>
      <x v="3"/>
    </i>
    <i t="grand">
      <x/>
    </i>
  </rowItems>
  <colItems count="1">
    <i/>
  </colItems>
  <dataFields count="1">
    <dataField name="Sum of Solved Violations" fld="8"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3E0509-BF11-442E-985A-A9254BCB069B}"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30:M35" firstHeaderRow="0" firstDataRow="1" firstDataCol="1"/>
  <pivotFields count="14">
    <pivotField showAll="0"/>
    <pivotField axis="axisRow" showAll="0" sortType="ascending">
      <items count="5">
        <item x="1"/>
        <item x="2"/>
        <item x="3"/>
        <item x="0"/>
        <item t="default"/>
      </items>
    </pivotField>
    <pivotField showAll="0"/>
    <pivotField numFmtId="14" showAll="0"/>
    <pivotField showAll="0"/>
    <pivotField showAll="0"/>
    <pivotField showAll="0"/>
    <pivotField dataField="1" showAll="0"/>
    <pivotField dataField="1" showAll="0"/>
    <pivotField dataField="1" showAll="0"/>
    <pivotField showAll="0"/>
    <pivotField showAll="0"/>
    <pivotField showAll="0"/>
    <pivotField showAll="0">
      <items count="3">
        <item x="0"/>
        <item h="1" x="1"/>
        <item t="default"/>
      </items>
    </pivotField>
  </pivotFields>
  <rowFields count="1">
    <field x="1"/>
  </rowFields>
  <rowItems count="5">
    <i>
      <x/>
    </i>
    <i>
      <x v="1"/>
    </i>
    <i>
      <x v="2"/>
    </i>
    <i>
      <x v="3"/>
    </i>
    <i t="grand">
      <x/>
    </i>
  </rowItems>
  <colFields count="1">
    <field x="-2"/>
  </colFields>
  <colItems count="3">
    <i>
      <x/>
    </i>
    <i i="1">
      <x v="1"/>
    </i>
    <i i="2">
      <x v="2"/>
    </i>
  </colItems>
  <dataFields count="3">
    <dataField name="Sum of Active Violations" fld="7" baseField="1" baseItem="2"/>
    <dataField name="Sum of Solved Violations" fld="8" baseField="1" baseItem="0"/>
    <dataField name="Sum of Ignored Violations" fld="9" baseField="1" baseItem="2"/>
  </dataFields>
  <chartFormats count="13">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 chart="21" format="9">
      <pivotArea type="data" outline="0" fieldPosition="0">
        <references count="2">
          <reference field="4294967294" count="1" selected="0">
            <x v="1"/>
          </reference>
          <reference field="1" count="1" selected="0">
            <x v="3"/>
          </reference>
        </references>
      </pivotArea>
    </chartFormat>
    <chartFormat chart="21" format="10">
      <pivotArea type="data" outline="0" fieldPosition="0">
        <references count="2">
          <reference field="4294967294" count="1" selected="0">
            <x v="1"/>
          </reference>
          <reference field="1" count="1" selected="0">
            <x v="2"/>
          </reference>
        </references>
      </pivotArea>
    </chartFormat>
    <chartFormat chart="21" format="11">
      <pivotArea type="data" outline="0" fieldPosition="0">
        <references count="2">
          <reference field="4294967294" count="1" selected="0">
            <x v="1"/>
          </reference>
          <reference field="1" count="1" selected="0">
            <x v="1"/>
          </reference>
        </references>
      </pivotArea>
    </chartFormat>
    <chartFormat chart="21" format="12">
      <pivotArea type="data" outline="0" fieldPosition="0">
        <references count="2">
          <reference field="4294967294" count="1" selected="0">
            <x v="1"/>
          </reference>
          <reference field="1" count="1" selected="0">
            <x v="0"/>
          </reference>
        </references>
      </pivotArea>
    </chartFormat>
    <chartFormat chart="22"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1"/>
          </reference>
        </references>
      </pivotArea>
    </chartFormat>
    <chartFormat chart="2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D4F9C5-8B1F-4EBF-AE5B-88ED1FF5B5CF}" name="PivotTable5" cacheId="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2" firstHeaderRow="1" firstDataRow="1" firstDataCol="1"/>
  <pivotFields count="14">
    <pivotField showAll="0"/>
    <pivotField showAll="0"/>
    <pivotField showAll="0"/>
    <pivotField numFmtId="14" showAll="0"/>
    <pivotField axis="axisRow" showAll="0" sortType="ascending">
      <items count="8">
        <item x="5"/>
        <item x="4"/>
        <item x="0"/>
        <item x="2"/>
        <item x="6"/>
        <item x="3"/>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3">
        <item x="0"/>
        <item h="1" x="1"/>
        <item t="default"/>
      </items>
    </pivotField>
  </pivotFields>
  <rowFields count="1">
    <field x="4"/>
  </rowFields>
  <rowItems count="8">
    <i>
      <x v="6"/>
    </i>
    <i>
      <x v="4"/>
    </i>
    <i>
      <x v="3"/>
    </i>
    <i>
      <x v="1"/>
    </i>
    <i>
      <x v="5"/>
    </i>
    <i>
      <x/>
    </i>
    <i>
      <x v="2"/>
    </i>
    <i t="grand">
      <x/>
    </i>
  </rowItems>
  <colItems count="1">
    <i/>
  </colItems>
  <dataFields count="1">
    <dataField name=" Active Violation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5373C00-F46E-49C4-BE05-7F892AB9F79D}" sourceName="Year">
  <pivotTables>
    <pivotTable tabId="2" name="PivotTable4"/>
    <pivotTable tabId="2" name="PivotTable10"/>
    <pivotTable tabId="2" name="PivotTable2"/>
    <pivotTable tabId="2" name="PivotTable3"/>
    <pivotTable tabId="2" name="PivotTable5"/>
    <pivotTable tabId="2" name="PivotTable7"/>
    <pivotTable tabId="2" name="PivotTable8"/>
    <pivotTable tabId="2" name="PivotTable9"/>
  </pivotTables>
  <data>
    <tabular pivotCacheId="1700870173">
      <items count="2">
        <i x="0" s="1"/>
        <i x="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9F1E4D7-3EB4-4D41-BE0E-2086F3D9E259}" cache="Slicer_Year"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11DD4DD-FE0D-4F0A-B72E-65846014DB02}" cache="Slicer_Year"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18BCEE-DB50-43F3-B07F-6FD337F4FA8C}" name="Table1" displayName="Table1" ref="A1:N100" totalsRowShown="0">
  <autoFilter ref="A1:N100" xr:uid="{4C18BCEE-DB50-43F3-B07F-6FD337F4FA8C}"/>
  <tableColumns count="14">
    <tableColumn id="1" xr3:uid="{C1B1214B-FD2E-4896-913F-99BF0601AFD2}" name="Device Name"/>
    <tableColumn id="2" xr3:uid="{2040A6FF-846B-436C-9837-31BDA51B8655}" name="Compliance "/>
    <tableColumn id="3" xr3:uid="{9B91F19E-3F36-4152-8109-39077920312F}" name="Violation Type"/>
    <tableColumn id="4" xr3:uid="{8E1C7B2E-B8C0-4ADF-9C38-E5F253656451}" name="Violation Date" dataDxfId="1"/>
    <tableColumn id="5" xr3:uid="{84B2E5BD-05C2-4D0A-A17C-24DF6763562B}" name="City"/>
    <tableColumn id="6" xr3:uid="{0D58836D-CE0B-4B7B-BE41-A482DAA55205}" name="Total Rules"/>
    <tableColumn id="7" xr3:uid="{63C1EE22-8581-49AC-8A15-E3FC3638C491}" name="Total Violations"/>
    <tableColumn id="8" xr3:uid="{DD4176E3-DF62-44AA-A14E-A2325EB36865}" name="Active Violations"/>
    <tableColumn id="9" xr3:uid="{A8DFA4BC-6FB8-4AAF-A46C-0D5D2034B9C9}" name="Solved Violations"/>
    <tableColumn id="10" xr3:uid="{CBCD2376-098F-4FD2-9646-ED34CF5927B1}" name="Ignored Violations"/>
    <tableColumn id="11" xr3:uid="{264B37CF-22A6-40BE-8812-066FF4B5B37B}" name="Solving Time"/>
    <tableColumn id="12" xr3:uid="{DFF1644A-3B0E-49D4-A7AE-37970E1CA60C}" name="Environment Managed"/>
    <tableColumn id="13" xr3:uid="{34F7A0AF-6249-4D7A-A9BB-16E5237C27F5}" name="Environment Disabled"/>
    <tableColumn id="14" xr3:uid="{01EEC4A7-62AA-4B42-A41A-899D52924BAE}" name="Year" dataDxfId="0">
      <calculatedColumnFormula>YEAR(D:D)</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EC13F-B635-4BD2-B8F9-CD844E1755E2}">
  <sheetPr>
    <tabColor theme="5" tint="-0.249977111117893"/>
  </sheetPr>
  <dimension ref="C15"/>
  <sheetViews>
    <sheetView showGridLines="0" tabSelected="1" zoomScale="115" zoomScaleNormal="51" workbookViewId="0">
      <selection activeCell="V23" sqref="V23"/>
    </sheetView>
  </sheetViews>
  <sheetFormatPr defaultRowHeight="14.4" x14ac:dyDescent="0.3"/>
  <sheetData>
    <row r="15" spans="3:3" x14ac:dyDescent="0.3">
      <c r="C15" cm="1">
        <f t="array" aca="1" ref="C15" ca="1">C15:C18</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9E227-5BAC-4143-B8B5-B478DBAC0DAF}">
  <dimension ref="A1:M35"/>
  <sheetViews>
    <sheetView showGridLines="0" workbookViewId="0">
      <selection activeCell="D4" sqref="D4"/>
    </sheetView>
  </sheetViews>
  <sheetFormatPr defaultRowHeight="14.4" x14ac:dyDescent="0.3"/>
  <cols>
    <col min="1" max="1" width="19.21875" bestFit="1" customWidth="1"/>
    <col min="2" max="2" width="5" bestFit="1" customWidth="1"/>
    <col min="3" max="3" width="8.88671875" customWidth="1"/>
    <col min="4" max="4" width="15.6640625" bestFit="1" customWidth="1"/>
    <col min="5" max="5" width="14.21875" bestFit="1" customWidth="1"/>
    <col min="6" max="6" width="13.6640625" customWidth="1"/>
    <col min="7" max="7" width="12.44140625" bestFit="1" customWidth="1"/>
    <col min="8" max="8" width="15.33203125" bestFit="1" customWidth="1"/>
    <col min="9" max="10" width="14.88671875" bestFit="1" customWidth="1"/>
    <col min="11" max="12" width="21.6640625" bestFit="1" customWidth="1"/>
    <col min="13" max="13" width="22.21875" bestFit="1" customWidth="1"/>
    <col min="14" max="31" width="15.5546875" bestFit="1" customWidth="1"/>
    <col min="32" max="32" width="10.5546875" bestFit="1" customWidth="1"/>
  </cols>
  <sheetData>
    <row r="1" spans="1:11" x14ac:dyDescent="0.3">
      <c r="A1">
        <v>720</v>
      </c>
    </row>
    <row r="2" spans="1:11" ht="18" x14ac:dyDescent="0.35">
      <c r="A2" s="5" t="s">
        <v>146</v>
      </c>
      <c r="B2" s="6"/>
    </row>
    <row r="3" spans="1:11" ht="18" x14ac:dyDescent="0.35">
      <c r="A3" s="2" t="s">
        <v>145</v>
      </c>
      <c r="D3" s="5" t="s">
        <v>155</v>
      </c>
      <c r="E3" s="6"/>
      <c r="G3" s="4" t="s">
        <v>156</v>
      </c>
      <c r="I3" s="4" t="s">
        <v>157</v>
      </c>
    </row>
    <row r="4" spans="1:11" x14ac:dyDescent="0.3">
      <c r="A4" s="3" t="s">
        <v>148</v>
      </c>
      <c r="B4" s="13">
        <v>740</v>
      </c>
      <c r="D4" s="2" t="s">
        <v>140</v>
      </c>
      <c r="E4" t="s">
        <v>149</v>
      </c>
      <c r="G4" s="2" t="s">
        <v>140</v>
      </c>
      <c r="H4" t="s">
        <v>150</v>
      </c>
      <c r="I4" s="2" t="s">
        <v>140</v>
      </c>
      <c r="J4" t="s">
        <v>142</v>
      </c>
      <c r="K4" t="s">
        <v>143</v>
      </c>
    </row>
    <row r="5" spans="1:11" x14ac:dyDescent="0.3">
      <c r="A5" s="3" t="s">
        <v>149</v>
      </c>
      <c r="B5" s="13">
        <v>1355</v>
      </c>
      <c r="D5" s="3" t="s">
        <v>15</v>
      </c>
      <c r="E5" s="13">
        <v>247</v>
      </c>
      <c r="G5" s="3" t="s">
        <v>21</v>
      </c>
      <c r="H5" s="13">
        <v>15</v>
      </c>
      <c r="I5" s="3" t="s">
        <v>48</v>
      </c>
      <c r="J5" s="13">
        <v>68</v>
      </c>
      <c r="K5" s="13">
        <v>174</v>
      </c>
    </row>
    <row r="6" spans="1:11" x14ac:dyDescent="0.3">
      <c r="A6" s="3" t="s">
        <v>150</v>
      </c>
      <c r="B6" s="13">
        <v>334</v>
      </c>
      <c r="D6" s="3" t="s">
        <v>45</v>
      </c>
      <c r="E6" s="13">
        <v>290</v>
      </c>
      <c r="G6" s="3" t="s">
        <v>66</v>
      </c>
      <c r="H6" s="13">
        <v>32</v>
      </c>
      <c r="I6" s="3" t="s">
        <v>34</v>
      </c>
      <c r="J6" s="13">
        <v>90</v>
      </c>
      <c r="K6" s="13">
        <v>147</v>
      </c>
    </row>
    <row r="7" spans="1:11" x14ac:dyDescent="0.3">
      <c r="A7" s="3" t="s">
        <v>151</v>
      </c>
      <c r="B7" s="13">
        <v>573</v>
      </c>
      <c r="D7" s="3" t="s">
        <v>36</v>
      </c>
      <c r="E7" s="13">
        <v>109</v>
      </c>
      <c r="G7" s="3" t="s">
        <v>26</v>
      </c>
      <c r="H7" s="13">
        <v>34</v>
      </c>
      <c r="I7" s="3" t="s">
        <v>17</v>
      </c>
      <c r="J7" s="13">
        <v>97</v>
      </c>
      <c r="K7" s="13">
        <v>126</v>
      </c>
    </row>
    <row r="8" spans="1:11" x14ac:dyDescent="0.3">
      <c r="A8" s="3" t="s">
        <v>152</v>
      </c>
      <c r="B8" s="13">
        <v>288</v>
      </c>
      <c r="D8" s="3" t="s">
        <v>25</v>
      </c>
      <c r="E8" s="13">
        <v>310</v>
      </c>
      <c r="G8" s="3" t="s">
        <v>33</v>
      </c>
      <c r="H8" s="13">
        <v>56</v>
      </c>
      <c r="I8" s="3" t="s">
        <v>22</v>
      </c>
      <c r="J8" s="13">
        <v>79</v>
      </c>
      <c r="K8" s="13">
        <v>126</v>
      </c>
    </row>
    <row r="9" spans="1:11" x14ac:dyDescent="0.3">
      <c r="A9" s="3" t="s">
        <v>153</v>
      </c>
      <c r="B9" s="13">
        <v>857</v>
      </c>
      <c r="D9" s="3" t="s">
        <v>20</v>
      </c>
      <c r="E9" s="13">
        <v>249</v>
      </c>
      <c r="G9" s="3" t="s">
        <v>30</v>
      </c>
      <c r="H9" s="13">
        <v>59</v>
      </c>
      <c r="I9" s="3" t="s">
        <v>141</v>
      </c>
      <c r="J9" s="13">
        <v>334</v>
      </c>
      <c r="K9" s="13">
        <v>573</v>
      </c>
    </row>
    <row r="10" spans="1:11" x14ac:dyDescent="0.3">
      <c r="A10" s="3" t="s">
        <v>154</v>
      </c>
      <c r="B10" s="13">
        <v>164</v>
      </c>
      <c r="D10" s="3" t="s">
        <v>29</v>
      </c>
      <c r="E10" s="13">
        <v>150</v>
      </c>
      <c r="G10" s="3" t="s">
        <v>53</v>
      </c>
      <c r="H10" s="13">
        <v>59</v>
      </c>
    </row>
    <row r="11" spans="1:11" x14ac:dyDescent="0.3">
      <c r="D11" s="3" t="s">
        <v>141</v>
      </c>
      <c r="E11" s="13">
        <v>1355</v>
      </c>
      <c r="G11" s="3" t="s">
        <v>16</v>
      </c>
      <c r="H11" s="13">
        <v>79</v>
      </c>
    </row>
    <row r="12" spans="1:11" x14ac:dyDescent="0.3">
      <c r="G12" s="3" t="s">
        <v>141</v>
      </c>
      <c r="H12" s="13">
        <v>334</v>
      </c>
    </row>
    <row r="13" spans="1:11" x14ac:dyDescent="0.3">
      <c r="I13" s="4" t="s">
        <v>158</v>
      </c>
    </row>
    <row r="14" spans="1:11" x14ac:dyDescent="0.3">
      <c r="A14" s="11" t="s">
        <v>147</v>
      </c>
      <c r="B14" s="11"/>
      <c r="I14" s="2" t="s">
        <v>140</v>
      </c>
      <c r="J14" t="s">
        <v>139</v>
      </c>
    </row>
    <row r="15" spans="1:11" x14ac:dyDescent="0.3">
      <c r="A15" s="7" t="s">
        <v>148</v>
      </c>
      <c r="B15" s="14">
        <v>740</v>
      </c>
      <c r="G15" s="10" t="s">
        <v>140</v>
      </c>
      <c r="H15" s="10" t="s">
        <v>150</v>
      </c>
      <c r="I15" s="3" t="s">
        <v>19</v>
      </c>
      <c r="J15" s="13">
        <v>220</v>
      </c>
    </row>
    <row r="16" spans="1:11" x14ac:dyDescent="0.3">
      <c r="A16" s="7" t="s">
        <v>149</v>
      </c>
      <c r="B16" s="14">
        <v>1355</v>
      </c>
      <c r="F16" t="str">
        <f>G16&amp;"-"&amp;H16</f>
        <v>Tokyo-37</v>
      </c>
      <c r="G16" s="7" t="s">
        <v>21</v>
      </c>
      <c r="H16" s="8">
        <v>37</v>
      </c>
      <c r="I16" s="3" t="s">
        <v>24</v>
      </c>
      <c r="J16" s="13">
        <v>127</v>
      </c>
    </row>
    <row r="17" spans="1:13" x14ac:dyDescent="0.3">
      <c r="A17" s="7" t="s">
        <v>150</v>
      </c>
      <c r="B17" s="14">
        <v>334</v>
      </c>
      <c r="C17" s="9">
        <f>GETPIVOTDATA(" Active Violations",A14)/GETPIVOTDATA(" Total Violations",$A$14)</f>
        <v>0.24649446494464944</v>
      </c>
      <c r="F17" t="str">
        <f t="shared" ref="F17:F22" si="0">G17&amp;"-"&amp;H17</f>
        <v>Singapore-54</v>
      </c>
      <c r="G17" s="7" t="s">
        <v>66</v>
      </c>
      <c r="H17" s="8">
        <v>54</v>
      </c>
      <c r="I17" s="3" t="s">
        <v>28</v>
      </c>
      <c r="J17" s="13">
        <v>139</v>
      </c>
    </row>
    <row r="18" spans="1:13" x14ac:dyDescent="0.3">
      <c r="A18" s="7" t="s">
        <v>151</v>
      </c>
      <c r="B18" s="14">
        <v>573</v>
      </c>
      <c r="C18" s="9">
        <f>GETPIVOTDATA("Solved violations",A16)/GETPIVOTDATA(" Total Violations",$A$14)</f>
        <v>0.42287822878228781</v>
      </c>
      <c r="F18" t="str">
        <f t="shared" si="0"/>
        <v>Paris-68</v>
      </c>
      <c r="G18" s="7" t="s">
        <v>26</v>
      </c>
      <c r="H18" s="8">
        <v>68</v>
      </c>
      <c r="I18" s="3" t="s">
        <v>14</v>
      </c>
      <c r="J18" s="13">
        <v>869</v>
      </c>
    </row>
    <row r="19" spans="1:13" x14ac:dyDescent="0.3">
      <c r="A19" s="7" t="s">
        <v>152</v>
      </c>
      <c r="B19" s="14">
        <v>288</v>
      </c>
      <c r="C19" s="9">
        <f>GETPIVOTDATA(" Ignored Violations",A17)/GETPIVOTDATA(" Total Violations",$A$14)</f>
        <v>0.21254612546125462</v>
      </c>
      <c r="F19" t="str">
        <f t="shared" si="0"/>
        <v>Mumbai-121</v>
      </c>
      <c r="G19" s="7" t="s">
        <v>33</v>
      </c>
      <c r="H19" s="8">
        <v>121</v>
      </c>
      <c r="I19" s="3" t="s">
        <v>141</v>
      </c>
      <c r="J19" s="13">
        <v>1355</v>
      </c>
    </row>
    <row r="20" spans="1:13" x14ac:dyDescent="0.3">
      <c r="A20" s="7" t="s">
        <v>153</v>
      </c>
      <c r="B20" s="14">
        <v>857</v>
      </c>
      <c r="F20" t="str">
        <f t="shared" si="0"/>
        <v>Sydney-126</v>
      </c>
      <c r="G20" s="7" t="s">
        <v>30</v>
      </c>
      <c r="H20" s="8">
        <v>126</v>
      </c>
    </row>
    <row r="21" spans="1:13" x14ac:dyDescent="0.3">
      <c r="A21" s="7" t="s">
        <v>154</v>
      </c>
      <c r="B21" s="14">
        <v>164</v>
      </c>
      <c r="F21" t="str">
        <f t="shared" si="0"/>
        <v>London-147</v>
      </c>
      <c r="G21" s="7" t="s">
        <v>53</v>
      </c>
      <c r="H21" s="8">
        <v>147</v>
      </c>
      <c r="J21" s="4" t="s">
        <v>159</v>
      </c>
    </row>
    <row r="22" spans="1:13" x14ac:dyDescent="0.3">
      <c r="F22" t="str">
        <f t="shared" si="0"/>
        <v>New York-167</v>
      </c>
      <c r="G22" s="7" t="s">
        <v>16</v>
      </c>
      <c r="H22" s="8">
        <v>167</v>
      </c>
      <c r="J22" s="2" t="s">
        <v>140</v>
      </c>
      <c r="K22" t="s">
        <v>143</v>
      </c>
    </row>
    <row r="23" spans="1:13" x14ac:dyDescent="0.3">
      <c r="A23" s="3" t="s">
        <v>148</v>
      </c>
      <c r="B23">
        <v>1319</v>
      </c>
      <c r="J23" s="3" t="s">
        <v>14</v>
      </c>
      <c r="K23" s="12">
        <v>0.5951134380453752</v>
      </c>
    </row>
    <row r="24" spans="1:13" x14ac:dyDescent="0.3">
      <c r="A24" s="3" t="s">
        <v>149</v>
      </c>
      <c r="B24">
        <v>2307</v>
      </c>
      <c r="J24" s="3" t="s">
        <v>28</v>
      </c>
      <c r="K24" s="12">
        <v>0.14136125654450263</v>
      </c>
    </row>
    <row r="25" spans="1:13" x14ac:dyDescent="0.3">
      <c r="A25" s="3" t="s">
        <v>150</v>
      </c>
      <c r="B25">
        <v>720</v>
      </c>
      <c r="J25" s="3" t="s">
        <v>24</v>
      </c>
      <c r="K25" s="12">
        <v>0.13438045375218149</v>
      </c>
    </row>
    <row r="26" spans="1:13" x14ac:dyDescent="0.3">
      <c r="A26" s="3" t="s">
        <v>151</v>
      </c>
      <c r="B26">
        <v>1041</v>
      </c>
      <c r="J26" s="3" t="s">
        <v>19</v>
      </c>
      <c r="K26" s="12">
        <v>0.12914485165794065</v>
      </c>
    </row>
    <row r="27" spans="1:13" x14ac:dyDescent="0.3">
      <c r="A27" s="3" t="s">
        <v>152</v>
      </c>
      <c r="B27">
        <v>531</v>
      </c>
      <c r="J27" s="3" t="s">
        <v>141</v>
      </c>
      <c r="K27" s="12">
        <v>1</v>
      </c>
    </row>
    <row r="28" spans="1:13" x14ac:dyDescent="0.3">
      <c r="A28" s="3" t="s">
        <v>153</v>
      </c>
      <c r="B28">
        <v>1526</v>
      </c>
    </row>
    <row r="29" spans="1:13" x14ac:dyDescent="0.3">
      <c r="A29" s="3" t="s">
        <v>154</v>
      </c>
      <c r="B29">
        <v>273</v>
      </c>
      <c r="J29" s="4" t="s">
        <v>159</v>
      </c>
    </row>
    <row r="30" spans="1:13" x14ac:dyDescent="0.3">
      <c r="J30" s="2" t="s">
        <v>140</v>
      </c>
      <c r="K30" t="s">
        <v>142</v>
      </c>
      <c r="L30" t="s">
        <v>143</v>
      </c>
      <c r="M30" t="s">
        <v>144</v>
      </c>
    </row>
    <row r="31" spans="1:13" x14ac:dyDescent="0.3">
      <c r="J31" s="3" t="s">
        <v>19</v>
      </c>
      <c r="K31" s="13">
        <v>63</v>
      </c>
      <c r="L31" s="13">
        <v>74</v>
      </c>
      <c r="M31" s="13">
        <v>49</v>
      </c>
    </row>
    <row r="32" spans="1:13" x14ac:dyDescent="0.3">
      <c r="J32" s="3" t="s">
        <v>24</v>
      </c>
      <c r="K32" s="13">
        <v>41</v>
      </c>
      <c r="L32" s="13">
        <v>77</v>
      </c>
      <c r="M32" s="13">
        <v>41</v>
      </c>
    </row>
    <row r="33" spans="10:13" x14ac:dyDescent="0.3">
      <c r="J33" s="3" t="s">
        <v>28</v>
      </c>
      <c r="K33" s="13">
        <v>60</v>
      </c>
      <c r="L33" s="13">
        <v>81</v>
      </c>
      <c r="M33" s="13">
        <v>44</v>
      </c>
    </row>
    <row r="34" spans="10:13" x14ac:dyDescent="0.3">
      <c r="J34" s="3" t="s">
        <v>14</v>
      </c>
      <c r="K34" s="13">
        <v>170</v>
      </c>
      <c r="L34" s="13">
        <v>341</v>
      </c>
      <c r="M34" s="13">
        <v>154</v>
      </c>
    </row>
    <row r="35" spans="10:13" x14ac:dyDescent="0.3">
      <c r="J35" s="3" t="s">
        <v>141</v>
      </c>
      <c r="K35" s="13">
        <v>334</v>
      </c>
      <c r="L35" s="13">
        <v>573</v>
      </c>
      <c r="M35" s="13">
        <v>288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BABE-E977-479D-99E2-8F50B64A6B4A}">
  <dimension ref="A1:N100"/>
  <sheetViews>
    <sheetView showGridLines="0" workbookViewId="0">
      <pane ySplit="1" topLeftCell="A2" activePane="bottomLeft" state="frozen"/>
      <selection pane="bottomLeft" activeCell="S15" sqref="S15"/>
    </sheetView>
  </sheetViews>
  <sheetFormatPr defaultRowHeight="14.4" x14ac:dyDescent="0.3"/>
  <cols>
    <col min="1" max="1" width="15" customWidth="1"/>
    <col min="2" max="2" width="18.44140625" customWidth="1"/>
    <col min="3" max="3" width="21" customWidth="1"/>
    <col min="4" max="4" width="16" style="1" customWidth="1"/>
    <col min="5" max="5" width="14.77734375" customWidth="1"/>
    <col min="6" max="6" width="15.6640625" customWidth="1"/>
    <col min="7" max="7" width="15.88671875" customWidth="1"/>
    <col min="8" max="8" width="16.109375" customWidth="1"/>
    <col min="9" max="9" width="16.33203125" customWidth="1"/>
    <col min="10" max="10" width="17.109375" customWidth="1"/>
    <col min="11" max="11" width="14.77734375" customWidth="1"/>
    <col min="12" max="12" width="24.77734375" customWidth="1"/>
    <col min="13" max="13" width="20.21875" customWidth="1"/>
  </cols>
  <sheetData>
    <row r="1" spans="1:14" x14ac:dyDescent="0.3">
      <c r="A1" t="s">
        <v>0</v>
      </c>
      <c r="B1" t="s">
        <v>1</v>
      </c>
      <c r="C1" t="s">
        <v>2</v>
      </c>
      <c r="D1" s="1" t="s">
        <v>3</v>
      </c>
      <c r="E1" t="s">
        <v>4</v>
      </c>
      <c r="F1" t="s">
        <v>5</v>
      </c>
      <c r="G1" t="s">
        <v>6</v>
      </c>
      <c r="H1" t="s">
        <v>7</v>
      </c>
      <c r="I1" t="s">
        <v>8</v>
      </c>
      <c r="J1" t="s">
        <v>9</v>
      </c>
      <c r="K1" t="s">
        <v>10</v>
      </c>
      <c r="L1" t="s">
        <v>11</v>
      </c>
      <c r="M1" t="s">
        <v>12</v>
      </c>
      <c r="N1" t="s">
        <v>138</v>
      </c>
    </row>
    <row r="2" spans="1:14" x14ac:dyDescent="0.3">
      <c r="A2" t="s">
        <v>13</v>
      </c>
      <c r="B2" t="s">
        <v>14</v>
      </c>
      <c r="C2" t="s">
        <v>15</v>
      </c>
      <c r="D2" s="1">
        <v>45047</v>
      </c>
      <c r="E2" t="s">
        <v>16</v>
      </c>
      <c r="F2">
        <v>16</v>
      </c>
      <c r="G2">
        <v>50</v>
      </c>
      <c r="H2">
        <v>28</v>
      </c>
      <c r="I2">
        <v>13</v>
      </c>
      <c r="J2">
        <v>6</v>
      </c>
      <c r="K2" t="s">
        <v>17</v>
      </c>
      <c r="L2">
        <v>14</v>
      </c>
      <c r="M2">
        <v>4</v>
      </c>
      <c r="N2">
        <f t="shared" ref="N2:N33" si="0">YEAR(D:D)</f>
        <v>2023</v>
      </c>
    </row>
    <row r="3" spans="1:14" x14ac:dyDescent="0.3">
      <c r="A3" t="s">
        <v>18</v>
      </c>
      <c r="B3" t="s">
        <v>19</v>
      </c>
      <c r="C3" t="s">
        <v>20</v>
      </c>
      <c r="D3" s="1">
        <v>45615</v>
      </c>
      <c r="E3" t="s">
        <v>21</v>
      </c>
      <c r="F3">
        <v>16</v>
      </c>
      <c r="G3">
        <v>14</v>
      </c>
      <c r="H3">
        <v>5</v>
      </c>
      <c r="I3">
        <v>6</v>
      </c>
      <c r="J3">
        <v>4</v>
      </c>
      <c r="K3" t="s">
        <v>22</v>
      </c>
      <c r="L3">
        <v>19</v>
      </c>
      <c r="M3">
        <v>2</v>
      </c>
      <c r="N3">
        <f t="shared" si="0"/>
        <v>2024</v>
      </c>
    </row>
    <row r="4" spans="1:14" x14ac:dyDescent="0.3">
      <c r="A4" t="s">
        <v>23</v>
      </c>
      <c r="B4" t="s">
        <v>24</v>
      </c>
      <c r="C4" t="s">
        <v>25</v>
      </c>
      <c r="D4" s="1">
        <v>45601</v>
      </c>
      <c r="E4" t="s">
        <v>26</v>
      </c>
      <c r="F4">
        <v>16</v>
      </c>
      <c r="G4">
        <v>10</v>
      </c>
      <c r="H4">
        <v>9</v>
      </c>
      <c r="I4">
        <v>9</v>
      </c>
      <c r="J4">
        <v>9</v>
      </c>
      <c r="K4" t="s">
        <v>17</v>
      </c>
      <c r="L4">
        <v>15</v>
      </c>
      <c r="M4">
        <v>1</v>
      </c>
      <c r="N4">
        <f t="shared" si="0"/>
        <v>2024</v>
      </c>
    </row>
    <row r="5" spans="1:14" x14ac:dyDescent="0.3">
      <c r="A5" t="s">
        <v>27</v>
      </c>
      <c r="B5" t="s">
        <v>28</v>
      </c>
      <c r="C5" t="s">
        <v>29</v>
      </c>
      <c r="D5" s="1">
        <v>45564</v>
      </c>
      <c r="E5" t="s">
        <v>30</v>
      </c>
      <c r="F5" t="s">
        <v>31</v>
      </c>
      <c r="G5">
        <v>0</v>
      </c>
      <c r="H5">
        <v>11</v>
      </c>
      <c r="I5">
        <v>5</v>
      </c>
      <c r="J5">
        <v>6</v>
      </c>
      <c r="K5" t="s">
        <v>22</v>
      </c>
      <c r="L5">
        <v>11</v>
      </c>
      <c r="M5">
        <v>1</v>
      </c>
      <c r="N5">
        <f t="shared" si="0"/>
        <v>2024</v>
      </c>
    </row>
    <row r="6" spans="1:14" x14ac:dyDescent="0.3">
      <c r="A6" t="s">
        <v>32</v>
      </c>
      <c r="B6" t="s">
        <v>24</v>
      </c>
      <c r="C6" t="s">
        <v>20</v>
      </c>
      <c r="D6" s="1">
        <v>45542</v>
      </c>
      <c r="E6" t="s">
        <v>33</v>
      </c>
      <c r="F6">
        <v>15</v>
      </c>
      <c r="G6">
        <v>10</v>
      </c>
      <c r="H6">
        <v>9</v>
      </c>
      <c r="I6">
        <v>12</v>
      </c>
      <c r="J6">
        <v>4</v>
      </c>
      <c r="K6" t="s">
        <v>34</v>
      </c>
      <c r="L6">
        <v>12</v>
      </c>
      <c r="M6">
        <v>1</v>
      </c>
      <c r="N6">
        <f t="shared" si="0"/>
        <v>2024</v>
      </c>
    </row>
    <row r="7" spans="1:14" x14ac:dyDescent="0.3">
      <c r="A7" t="s">
        <v>35</v>
      </c>
      <c r="B7" t="s">
        <v>14</v>
      </c>
      <c r="C7" t="s">
        <v>36</v>
      </c>
      <c r="D7" s="1">
        <v>45460</v>
      </c>
      <c r="E7" t="s">
        <v>21</v>
      </c>
      <c r="F7">
        <v>18</v>
      </c>
      <c r="G7">
        <v>19</v>
      </c>
      <c r="H7">
        <v>9</v>
      </c>
      <c r="I7">
        <v>14</v>
      </c>
      <c r="J7">
        <v>4</v>
      </c>
      <c r="K7" t="s">
        <v>17</v>
      </c>
      <c r="L7">
        <v>14</v>
      </c>
      <c r="M7">
        <v>1</v>
      </c>
      <c r="N7">
        <f t="shared" si="0"/>
        <v>2024</v>
      </c>
    </row>
    <row r="8" spans="1:14" x14ac:dyDescent="0.3">
      <c r="A8" t="s">
        <v>37</v>
      </c>
      <c r="B8" t="s">
        <v>24</v>
      </c>
      <c r="C8" t="s">
        <v>20</v>
      </c>
      <c r="D8" s="1">
        <v>45018</v>
      </c>
      <c r="E8" t="s">
        <v>16</v>
      </c>
      <c r="F8">
        <v>16</v>
      </c>
      <c r="G8">
        <v>10</v>
      </c>
      <c r="H8">
        <v>9</v>
      </c>
      <c r="I8">
        <v>6</v>
      </c>
      <c r="J8">
        <v>7</v>
      </c>
      <c r="K8" t="s">
        <v>22</v>
      </c>
      <c r="L8">
        <v>17</v>
      </c>
      <c r="M8">
        <v>1</v>
      </c>
      <c r="N8">
        <f t="shared" si="0"/>
        <v>2023</v>
      </c>
    </row>
    <row r="9" spans="1:14" x14ac:dyDescent="0.3">
      <c r="A9" t="s">
        <v>38</v>
      </c>
      <c r="B9" t="s">
        <v>14</v>
      </c>
      <c r="C9" t="s">
        <v>29</v>
      </c>
      <c r="D9" s="1">
        <v>45335</v>
      </c>
      <c r="E9" t="s">
        <v>26</v>
      </c>
      <c r="F9" t="s">
        <v>39</v>
      </c>
      <c r="G9">
        <v>15</v>
      </c>
      <c r="H9">
        <v>14</v>
      </c>
      <c r="I9">
        <v>11</v>
      </c>
      <c r="J9">
        <v>4</v>
      </c>
      <c r="K9" t="s">
        <v>34</v>
      </c>
      <c r="L9">
        <v>15</v>
      </c>
      <c r="M9">
        <v>4</v>
      </c>
      <c r="N9">
        <f t="shared" si="0"/>
        <v>2024</v>
      </c>
    </row>
    <row r="10" spans="1:14" x14ac:dyDescent="0.3">
      <c r="A10" t="s">
        <v>40</v>
      </c>
      <c r="B10" t="s">
        <v>14</v>
      </c>
      <c r="C10" t="s">
        <v>25</v>
      </c>
      <c r="D10" s="1">
        <v>45104</v>
      </c>
      <c r="E10" t="s">
        <v>30</v>
      </c>
      <c r="F10">
        <v>18</v>
      </c>
      <c r="G10">
        <v>14</v>
      </c>
      <c r="H10">
        <v>1</v>
      </c>
      <c r="I10">
        <v>13</v>
      </c>
      <c r="J10">
        <v>2</v>
      </c>
      <c r="K10" t="s">
        <v>34</v>
      </c>
      <c r="L10">
        <v>11</v>
      </c>
      <c r="M10">
        <v>2</v>
      </c>
      <c r="N10">
        <f t="shared" si="0"/>
        <v>2023</v>
      </c>
    </row>
    <row r="11" spans="1:14" x14ac:dyDescent="0.3">
      <c r="A11" t="s">
        <v>41</v>
      </c>
      <c r="B11" t="s">
        <v>14</v>
      </c>
      <c r="C11" t="s">
        <v>25</v>
      </c>
      <c r="D11" s="1">
        <v>44927</v>
      </c>
      <c r="E11" t="s">
        <v>33</v>
      </c>
      <c r="F11">
        <v>20</v>
      </c>
      <c r="G11">
        <v>19</v>
      </c>
      <c r="H11">
        <v>6</v>
      </c>
      <c r="I11">
        <v>13</v>
      </c>
      <c r="J11">
        <v>7</v>
      </c>
      <c r="K11" t="s">
        <v>22</v>
      </c>
      <c r="L11">
        <v>14</v>
      </c>
      <c r="M11">
        <v>2</v>
      </c>
      <c r="N11">
        <f t="shared" si="0"/>
        <v>2023</v>
      </c>
    </row>
    <row r="12" spans="1:14" x14ac:dyDescent="0.3">
      <c r="A12" t="s">
        <v>42</v>
      </c>
      <c r="B12" t="s">
        <v>14</v>
      </c>
      <c r="C12" t="s">
        <v>20</v>
      </c>
      <c r="D12" s="1">
        <v>45313</v>
      </c>
      <c r="E12" t="s">
        <v>30</v>
      </c>
      <c r="F12">
        <v>20</v>
      </c>
      <c r="G12">
        <v>14</v>
      </c>
      <c r="H12">
        <v>9</v>
      </c>
      <c r="I12">
        <v>15</v>
      </c>
      <c r="J12">
        <v>3</v>
      </c>
      <c r="K12" t="s">
        <v>17</v>
      </c>
      <c r="L12">
        <v>19</v>
      </c>
      <c r="M12">
        <v>1</v>
      </c>
      <c r="N12">
        <f t="shared" si="0"/>
        <v>2024</v>
      </c>
    </row>
    <row r="13" spans="1:14" x14ac:dyDescent="0.3">
      <c r="A13" t="s">
        <v>43</v>
      </c>
      <c r="B13" t="s">
        <v>14</v>
      </c>
      <c r="C13" t="s">
        <v>20</v>
      </c>
      <c r="D13" s="1">
        <v>44947</v>
      </c>
      <c r="E13" t="s">
        <v>33</v>
      </c>
      <c r="F13">
        <v>18</v>
      </c>
      <c r="G13">
        <v>23</v>
      </c>
      <c r="H13">
        <v>12</v>
      </c>
      <c r="I13">
        <v>13</v>
      </c>
      <c r="J13">
        <v>4</v>
      </c>
      <c r="K13" t="s">
        <v>17</v>
      </c>
      <c r="L13">
        <v>10</v>
      </c>
      <c r="M13">
        <v>2</v>
      </c>
      <c r="N13">
        <f t="shared" si="0"/>
        <v>2023</v>
      </c>
    </row>
    <row r="14" spans="1:14" x14ac:dyDescent="0.3">
      <c r="A14" t="s">
        <v>44</v>
      </c>
      <c r="B14" t="s">
        <v>24</v>
      </c>
      <c r="C14" t="s">
        <v>45</v>
      </c>
      <c r="D14" s="1">
        <v>45618</v>
      </c>
      <c r="E14" t="s">
        <v>16</v>
      </c>
      <c r="F14">
        <v>18</v>
      </c>
      <c r="G14">
        <v>10</v>
      </c>
      <c r="H14">
        <v>9</v>
      </c>
      <c r="I14">
        <v>15</v>
      </c>
      <c r="J14">
        <v>5</v>
      </c>
      <c r="K14" t="s">
        <v>22</v>
      </c>
      <c r="L14">
        <v>16</v>
      </c>
      <c r="M14">
        <v>2</v>
      </c>
      <c r="N14">
        <f t="shared" si="0"/>
        <v>2024</v>
      </c>
    </row>
    <row r="15" spans="1:14" x14ac:dyDescent="0.3">
      <c r="A15" t="s">
        <v>46</v>
      </c>
      <c r="B15" t="s">
        <v>24</v>
      </c>
      <c r="C15" t="s">
        <v>20</v>
      </c>
      <c r="D15" s="1">
        <v>45397</v>
      </c>
      <c r="E15" t="s">
        <v>26</v>
      </c>
      <c r="F15">
        <v>20</v>
      </c>
      <c r="G15">
        <v>10</v>
      </c>
      <c r="H15">
        <v>9</v>
      </c>
      <c r="I15">
        <v>9</v>
      </c>
      <c r="J15">
        <v>2</v>
      </c>
      <c r="K15" t="s">
        <v>22</v>
      </c>
      <c r="L15">
        <v>14</v>
      </c>
      <c r="M15">
        <v>5</v>
      </c>
      <c r="N15">
        <f t="shared" si="0"/>
        <v>2024</v>
      </c>
    </row>
    <row r="16" spans="1:14" x14ac:dyDescent="0.3">
      <c r="A16" t="s">
        <v>47</v>
      </c>
      <c r="B16" t="s">
        <v>28</v>
      </c>
      <c r="C16" t="s">
        <v>20</v>
      </c>
      <c r="D16" s="1">
        <v>45217</v>
      </c>
      <c r="E16" t="s">
        <v>21</v>
      </c>
      <c r="F16">
        <v>17</v>
      </c>
      <c r="G16">
        <v>10</v>
      </c>
      <c r="H16">
        <v>9</v>
      </c>
      <c r="I16">
        <v>5</v>
      </c>
      <c r="J16">
        <v>2</v>
      </c>
      <c r="K16" t="s">
        <v>48</v>
      </c>
      <c r="L16">
        <v>19</v>
      </c>
      <c r="M16">
        <v>3</v>
      </c>
      <c r="N16">
        <f t="shared" si="0"/>
        <v>2023</v>
      </c>
    </row>
    <row r="17" spans="1:14" x14ac:dyDescent="0.3">
      <c r="A17" t="s">
        <v>49</v>
      </c>
      <c r="B17" t="s">
        <v>19</v>
      </c>
      <c r="C17" t="s">
        <v>25</v>
      </c>
      <c r="D17" s="1">
        <v>44935</v>
      </c>
      <c r="E17" t="s">
        <v>33</v>
      </c>
      <c r="F17">
        <v>16</v>
      </c>
      <c r="G17">
        <v>39</v>
      </c>
      <c r="H17">
        <v>15</v>
      </c>
      <c r="I17">
        <v>5</v>
      </c>
      <c r="J17">
        <v>5</v>
      </c>
      <c r="K17" t="s">
        <v>34</v>
      </c>
      <c r="L17">
        <v>18</v>
      </c>
      <c r="M17">
        <v>3</v>
      </c>
      <c r="N17">
        <f t="shared" si="0"/>
        <v>2023</v>
      </c>
    </row>
    <row r="18" spans="1:14" x14ac:dyDescent="0.3">
      <c r="A18" t="s">
        <v>50</v>
      </c>
      <c r="B18" t="s">
        <v>14</v>
      </c>
      <c r="C18" t="s">
        <v>45</v>
      </c>
      <c r="D18" s="1">
        <v>45265</v>
      </c>
      <c r="E18" t="s">
        <v>30</v>
      </c>
      <c r="F18">
        <v>10</v>
      </c>
      <c r="G18">
        <v>35</v>
      </c>
      <c r="H18">
        <v>9</v>
      </c>
      <c r="I18">
        <v>13</v>
      </c>
      <c r="J18">
        <v>2</v>
      </c>
      <c r="K18" t="s">
        <v>48</v>
      </c>
      <c r="L18">
        <v>11</v>
      </c>
      <c r="M18">
        <v>5</v>
      </c>
      <c r="N18">
        <f t="shared" si="0"/>
        <v>2023</v>
      </c>
    </row>
    <row r="19" spans="1:14" x14ac:dyDescent="0.3">
      <c r="A19" t="s">
        <v>51</v>
      </c>
      <c r="B19" t="s">
        <v>28</v>
      </c>
      <c r="C19" t="s">
        <v>45</v>
      </c>
      <c r="D19" s="1">
        <v>45315</v>
      </c>
      <c r="E19" t="s">
        <v>16</v>
      </c>
      <c r="F19">
        <v>18</v>
      </c>
      <c r="G19">
        <v>16</v>
      </c>
      <c r="H19">
        <v>30</v>
      </c>
      <c r="I19">
        <v>14</v>
      </c>
      <c r="J19">
        <v>13</v>
      </c>
      <c r="K19" t="s">
        <v>34</v>
      </c>
      <c r="L19">
        <v>11</v>
      </c>
      <c r="M19">
        <v>2</v>
      </c>
      <c r="N19">
        <f t="shared" si="0"/>
        <v>2024</v>
      </c>
    </row>
    <row r="20" spans="1:14" x14ac:dyDescent="0.3">
      <c r="A20" t="s">
        <v>52</v>
      </c>
      <c r="B20" t="s">
        <v>14</v>
      </c>
      <c r="C20" t="s">
        <v>29</v>
      </c>
      <c r="D20" s="1">
        <v>45552</v>
      </c>
      <c r="E20" t="s">
        <v>53</v>
      </c>
      <c r="F20" t="s">
        <v>54</v>
      </c>
      <c r="G20">
        <v>20</v>
      </c>
      <c r="H20">
        <v>38</v>
      </c>
      <c r="I20">
        <v>5</v>
      </c>
      <c r="J20">
        <v>6</v>
      </c>
      <c r="K20" t="s">
        <v>17</v>
      </c>
      <c r="L20">
        <v>11</v>
      </c>
      <c r="M20">
        <v>5</v>
      </c>
      <c r="N20">
        <f t="shared" si="0"/>
        <v>2024</v>
      </c>
    </row>
    <row r="21" spans="1:14" x14ac:dyDescent="0.3">
      <c r="A21" t="s">
        <v>55</v>
      </c>
      <c r="B21" t="s">
        <v>14</v>
      </c>
      <c r="C21" t="s">
        <v>15</v>
      </c>
      <c r="D21" s="1">
        <v>45039</v>
      </c>
      <c r="E21" t="s">
        <v>26</v>
      </c>
      <c r="F21">
        <v>17</v>
      </c>
      <c r="G21">
        <v>46</v>
      </c>
      <c r="H21">
        <v>15</v>
      </c>
      <c r="I21">
        <v>11</v>
      </c>
      <c r="J21">
        <v>2</v>
      </c>
      <c r="K21" t="s">
        <v>34</v>
      </c>
      <c r="L21">
        <v>10</v>
      </c>
      <c r="M21">
        <v>5</v>
      </c>
      <c r="N21">
        <f t="shared" si="0"/>
        <v>2023</v>
      </c>
    </row>
    <row r="22" spans="1:14" x14ac:dyDescent="0.3">
      <c r="A22" t="s">
        <v>56</v>
      </c>
      <c r="B22" t="s">
        <v>14</v>
      </c>
      <c r="C22" t="s">
        <v>29</v>
      </c>
      <c r="D22" s="1">
        <v>45340</v>
      </c>
      <c r="E22" t="s">
        <v>30</v>
      </c>
      <c r="F22" t="s">
        <v>57</v>
      </c>
      <c r="G22">
        <v>50</v>
      </c>
      <c r="H22">
        <v>28</v>
      </c>
      <c r="I22">
        <v>8</v>
      </c>
      <c r="J22">
        <v>3</v>
      </c>
      <c r="K22" t="s">
        <v>17</v>
      </c>
      <c r="L22">
        <v>15</v>
      </c>
      <c r="M22">
        <v>4</v>
      </c>
      <c r="N22">
        <f t="shared" si="0"/>
        <v>2024</v>
      </c>
    </row>
    <row r="23" spans="1:14" x14ac:dyDescent="0.3">
      <c r="A23" t="s">
        <v>58</v>
      </c>
      <c r="B23" t="s">
        <v>28</v>
      </c>
      <c r="C23" t="s">
        <v>36</v>
      </c>
      <c r="D23" s="1">
        <v>45237</v>
      </c>
      <c r="E23" t="s">
        <v>33</v>
      </c>
      <c r="F23">
        <v>10</v>
      </c>
      <c r="G23">
        <v>16</v>
      </c>
      <c r="H23">
        <v>13</v>
      </c>
      <c r="I23">
        <v>6</v>
      </c>
      <c r="J23">
        <v>9</v>
      </c>
      <c r="K23" t="s">
        <v>48</v>
      </c>
      <c r="L23">
        <v>18</v>
      </c>
      <c r="M23">
        <v>1</v>
      </c>
      <c r="N23">
        <f t="shared" si="0"/>
        <v>2023</v>
      </c>
    </row>
    <row r="24" spans="1:14" x14ac:dyDescent="0.3">
      <c r="A24" t="s">
        <v>59</v>
      </c>
      <c r="B24" t="s">
        <v>19</v>
      </c>
      <c r="C24" t="s">
        <v>20</v>
      </c>
      <c r="D24" s="1">
        <v>45209</v>
      </c>
      <c r="E24" t="s">
        <v>26</v>
      </c>
      <c r="F24">
        <v>15</v>
      </c>
      <c r="G24">
        <v>10</v>
      </c>
      <c r="H24">
        <v>13</v>
      </c>
      <c r="I24">
        <v>9</v>
      </c>
      <c r="J24">
        <v>7</v>
      </c>
      <c r="K24" t="s">
        <v>34</v>
      </c>
      <c r="L24">
        <v>19</v>
      </c>
      <c r="M24">
        <v>4</v>
      </c>
      <c r="N24">
        <f t="shared" si="0"/>
        <v>2023</v>
      </c>
    </row>
    <row r="25" spans="1:14" x14ac:dyDescent="0.3">
      <c r="A25" t="s">
        <v>60</v>
      </c>
      <c r="B25" t="s">
        <v>24</v>
      </c>
      <c r="C25" t="s">
        <v>36</v>
      </c>
      <c r="D25" s="1">
        <v>45243</v>
      </c>
      <c r="E25" t="s">
        <v>16</v>
      </c>
      <c r="F25">
        <v>19</v>
      </c>
      <c r="G25">
        <v>10</v>
      </c>
      <c r="H25">
        <v>11</v>
      </c>
      <c r="I25">
        <v>12</v>
      </c>
      <c r="J25">
        <v>5</v>
      </c>
      <c r="K25" t="s">
        <v>22</v>
      </c>
      <c r="L25">
        <v>18</v>
      </c>
      <c r="M25">
        <v>2</v>
      </c>
      <c r="N25">
        <f t="shared" si="0"/>
        <v>2023</v>
      </c>
    </row>
    <row r="26" spans="1:14" x14ac:dyDescent="0.3">
      <c r="A26" t="s">
        <v>61</v>
      </c>
      <c r="B26" t="s">
        <v>14</v>
      </c>
      <c r="C26" t="s">
        <v>36</v>
      </c>
      <c r="D26" s="1">
        <v>45480</v>
      </c>
      <c r="E26" t="s">
        <v>30</v>
      </c>
      <c r="F26">
        <v>12</v>
      </c>
      <c r="G26">
        <v>13</v>
      </c>
      <c r="H26">
        <v>11</v>
      </c>
      <c r="I26">
        <v>14</v>
      </c>
      <c r="J26">
        <v>8</v>
      </c>
      <c r="K26" t="s">
        <v>17</v>
      </c>
      <c r="L26">
        <v>13</v>
      </c>
      <c r="M26">
        <v>1</v>
      </c>
      <c r="N26">
        <f t="shared" si="0"/>
        <v>2024</v>
      </c>
    </row>
    <row r="27" spans="1:14" x14ac:dyDescent="0.3">
      <c r="A27" t="s">
        <v>62</v>
      </c>
      <c r="B27" t="s">
        <v>28</v>
      </c>
      <c r="C27" t="s">
        <v>45</v>
      </c>
      <c r="D27" s="1">
        <v>45298</v>
      </c>
      <c r="E27" t="s">
        <v>53</v>
      </c>
      <c r="F27">
        <v>13</v>
      </c>
      <c r="G27">
        <v>16</v>
      </c>
      <c r="H27">
        <v>11</v>
      </c>
      <c r="I27">
        <v>11</v>
      </c>
      <c r="J27">
        <v>6</v>
      </c>
      <c r="K27" t="s">
        <v>17</v>
      </c>
      <c r="L27">
        <v>15</v>
      </c>
      <c r="M27">
        <v>1</v>
      </c>
      <c r="N27">
        <f t="shared" si="0"/>
        <v>2024</v>
      </c>
    </row>
    <row r="28" spans="1:14" x14ac:dyDescent="0.3">
      <c r="A28" t="s">
        <v>63</v>
      </c>
      <c r="B28" t="s">
        <v>28</v>
      </c>
      <c r="C28" t="s">
        <v>20</v>
      </c>
      <c r="D28" s="1">
        <v>45287</v>
      </c>
      <c r="E28" t="s">
        <v>33</v>
      </c>
      <c r="F28">
        <v>17</v>
      </c>
      <c r="G28">
        <v>16</v>
      </c>
      <c r="H28">
        <v>4</v>
      </c>
      <c r="I28">
        <v>6</v>
      </c>
      <c r="J28">
        <v>2</v>
      </c>
      <c r="K28" t="s">
        <v>22</v>
      </c>
      <c r="L28">
        <v>17</v>
      </c>
      <c r="M28">
        <v>4</v>
      </c>
      <c r="N28">
        <f t="shared" si="0"/>
        <v>2023</v>
      </c>
    </row>
    <row r="29" spans="1:14" x14ac:dyDescent="0.3">
      <c r="A29" t="s">
        <v>64</v>
      </c>
      <c r="B29" t="s">
        <v>24</v>
      </c>
      <c r="C29" t="s">
        <v>25</v>
      </c>
      <c r="D29" s="1">
        <v>45390</v>
      </c>
      <c r="E29" t="s">
        <v>16</v>
      </c>
      <c r="F29">
        <v>17</v>
      </c>
      <c r="G29">
        <v>10</v>
      </c>
      <c r="H29">
        <v>11</v>
      </c>
      <c r="I29">
        <v>9</v>
      </c>
      <c r="J29">
        <v>4</v>
      </c>
      <c r="K29" t="s">
        <v>22</v>
      </c>
      <c r="L29">
        <v>15</v>
      </c>
      <c r="M29">
        <v>1</v>
      </c>
      <c r="N29">
        <f t="shared" si="0"/>
        <v>2024</v>
      </c>
    </row>
    <row r="30" spans="1:14" x14ac:dyDescent="0.3">
      <c r="A30" t="s">
        <v>65</v>
      </c>
      <c r="B30" t="s">
        <v>19</v>
      </c>
      <c r="C30" t="s">
        <v>20</v>
      </c>
      <c r="D30" s="1">
        <v>45109</v>
      </c>
      <c r="E30" t="s">
        <v>66</v>
      </c>
      <c r="F30">
        <v>11</v>
      </c>
      <c r="G30">
        <v>18</v>
      </c>
      <c r="H30">
        <v>7</v>
      </c>
      <c r="I30">
        <v>9</v>
      </c>
      <c r="J30">
        <v>7</v>
      </c>
      <c r="K30" t="s">
        <v>17</v>
      </c>
      <c r="L30">
        <v>16</v>
      </c>
      <c r="M30">
        <v>5</v>
      </c>
      <c r="N30">
        <f t="shared" si="0"/>
        <v>2023</v>
      </c>
    </row>
    <row r="31" spans="1:14" x14ac:dyDescent="0.3">
      <c r="A31" t="s">
        <v>67</v>
      </c>
      <c r="B31" t="s">
        <v>14</v>
      </c>
      <c r="C31" t="s">
        <v>45</v>
      </c>
      <c r="D31" s="1">
        <v>45188</v>
      </c>
      <c r="E31" t="s">
        <v>30</v>
      </c>
      <c r="F31">
        <v>15</v>
      </c>
      <c r="G31">
        <v>42</v>
      </c>
      <c r="H31">
        <v>2</v>
      </c>
      <c r="I31">
        <v>9</v>
      </c>
      <c r="J31">
        <v>4</v>
      </c>
      <c r="K31" t="s">
        <v>34</v>
      </c>
      <c r="L31">
        <v>12</v>
      </c>
      <c r="M31">
        <v>5</v>
      </c>
      <c r="N31">
        <f t="shared" si="0"/>
        <v>2023</v>
      </c>
    </row>
    <row r="32" spans="1:14" x14ac:dyDescent="0.3">
      <c r="A32" t="s">
        <v>68</v>
      </c>
      <c r="B32" t="s">
        <v>28</v>
      </c>
      <c r="C32" t="s">
        <v>25</v>
      </c>
      <c r="D32" s="1">
        <v>45475</v>
      </c>
      <c r="E32" t="s">
        <v>53</v>
      </c>
      <c r="F32">
        <v>15</v>
      </c>
      <c r="G32">
        <v>16</v>
      </c>
      <c r="H32">
        <v>32</v>
      </c>
      <c r="I32">
        <v>11</v>
      </c>
      <c r="J32">
        <v>5</v>
      </c>
      <c r="K32" t="s">
        <v>17</v>
      </c>
      <c r="L32">
        <v>19</v>
      </c>
      <c r="M32">
        <v>2</v>
      </c>
      <c r="N32">
        <f t="shared" si="0"/>
        <v>2024</v>
      </c>
    </row>
    <row r="33" spans="1:14" x14ac:dyDescent="0.3">
      <c r="A33" t="s">
        <v>69</v>
      </c>
      <c r="B33" t="s">
        <v>14</v>
      </c>
      <c r="C33" t="s">
        <v>36</v>
      </c>
      <c r="D33" s="1">
        <v>45148</v>
      </c>
      <c r="E33" t="s">
        <v>33</v>
      </c>
      <c r="F33">
        <v>13</v>
      </c>
      <c r="G33">
        <v>17</v>
      </c>
      <c r="H33">
        <v>6</v>
      </c>
      <c r="I33">
        <v>14</v>
      </c>
      <c r="J33">
        <v>4</v>
      </c>
      <c r="K33" t="s">
        <v>48</v>
      </c>
      <c r="L33">
        <v>18</v>
      </c>
      <c r="M33">
        <v>3</v>
      </c>
      <c r="N33">
        <f t="shared" si="0"/>
        <v>2023</v>
      </c>
    </row>
    <row r="34" spans="1:14" x14ac:dyDescent="0.3">
      <c r="A34" t="s">
        <v>70</v>
      </c>
      <c r="B34" t="s">
        <v>19</v>
      </c>
      <c r="C34" t="s">
        <v>20</v>
      </c>
      <c r="D34" s="1">
        <v>45456</v>
      </c>
      <c r="E34" t="s">
        <v>16</v>
      </c>
      <c r="F34">
        <v>11</v>
      </c>
      <c r="G34">
        <v>18</v>
      </c>
      <c r="H34">
        <v>11</v>
      </c>
      <c r="I34">
        <v>6</v>
      </c>
      <c r="J34">
        <v>6</v>
      </c>
      <c r="K34" t="s">
        <v>22</v>
      </c>
      <c r="L34">
        <v>15</v>
      </c>
      <c r="M34">
        <v>1</v>
      </c>
      <c r="N34">
        <f t="shared" ref="N34:N65" si="1">YEAR(D:D)</f>
        <v>2024</v>
      </c>
    </row>
    <row r="35" spans="1:14" x14ac:dyDescent="0.3">
      <c r="A35" t="s">
        <v>71</v>
      </c>
      <c r="B35" t="s">
        <v>24</v>
      </c>
      <c r="C35" t="s">
        <v>29</v>
      </c>
      <c r="D35" s="1">
        <v>45619</v>
      </c>
      <c r="E35" t="s">
        <v>66</v>
      </c>
      <c r="F35" t="s">
        <v>72</v>
      </c>
      <c r="G35">
        <v>50</v>
      </c>
      <c r="H35">
        <v>11</v>
      </c>
      <c r="I35">
        <v>11</v>
      </c>
      <c r="J35">
        <v>3</v>
      </c>
      <c r="K35" t="s">
        <v>34</v>
      </c>
      <c r="L35">
        <v>13</v>
      </c>
      <c r="M35">
        <v>4</v>
      </c>
      <c r="N35">
        <f t="shared" si="1"/>
        <v>2024</v>
      </c>
    </row>
    <row r="36" spans="1:14" x14ac:dyDescent="0.3">
      <c r="A36" t="s">
        <v>73</v>
      </c>
      <c r="B36" t="s">
        <v>14</v>
      </c>
      <c r="C36" t="s">
        <v>15</v>
      </c>
      <c r="D36" s="1">
        <v>45073</v>
      </c>
      <c r="E36" t="s">
        <v>53</v>
      </c>
      <c r="F36">
        <v>18</v>
      </c>
      <c r="G36">
        <v>41</v>
      </c>
      <c r="H36">
        <v>11</v>
      </c>
      <c r="I36">
        <v>12</v>
      </c>
      <c r="J36">
        <v>4</v>
      </c>
      <c r="K36" t="s">
        <v>17</v>
      </c>
      <c r="L36">
        <v>12</v>
      </c>
      <c r="M36">
        <v>3</v>
      </c>
      <c r="N36">
        <f t="shared" si="1"/>
        <v>2023</v>
      </c>
    </row>
    <row r="37" spans="1:14" x14ac:dyDescent="0.3">
      <c r="A37" t="s">
        <v>74</v>
      </c>
      <c r="B37" t="s">
        <v>28</v>
      </c>
      <c r="C37" t="s">
        <v>45</v>
      </c>
      <c r="D37" s="1">
        <v>44978</v>
      </c>
      <c r="E37" t="s">
        <v>30</v>
      </c>
      <c r="F37">
        <v>14</v>
      </c>
      <c r="G37">
        <v>16</v>
      </c>
      <c r="H37">
        <v>9</v>
      </c>
      <c r="I37">
        <v>8</v>
      </c>
      <c r="J37">
        <v>3</v>
      </c>
      <c r="K37" t="s">
        <v>22</v>
      </c>
      <c r="L37">
        <v>11</v>
      </c>
      <c r="M37">
        <v>4</v>
      </c>
      <c r="N37">
        <f t="shared" si="1"/>
        <v>2023</v>
      </c>
    </row>
    <row r="38" spans="1:14" x14ac:dyDescent="0.3">
      <c r="A38" t="s">
        <v>75</v>
      </c>
      <c r="B38" t="s">
        <v>14</v>
      </c>
      <c r="C38" t="s">
        <v>25</v>
      </c>
      <c r="D38" s="1">
        <v>45396</v>
      </c>
      <c r="E38" t="s">
        <v>33</v>
      </c>
      <c r="F38">
        <v>17</v>
      </c>
      <c r="G38">
        <v>15</v>
      </c>
      <c r="H38">
        <v>11</v>
      </c>
      <c r="I38">
        <v>9</v>
      </c>
      <c r="J38">
        <v>5</v>
      </c>
      <c r="K38" t="s">
        <v>34</v>
      </c>
      <c r="L38">
        <v>17</v>
      </c>
      <c r="M38">
        <v>2</v>
      </c>
      <c r="N38">
        <f t="shared" si="1"/>
        <v>2024</v>
      </c>
    </row>
    <row r="39" spans="1:14" x14ac:dyDescent="0.3">
      <c r="A39" t="s">
        <v>76</v>
      </c>
      <c r="B39" t="s">
        <v>14</v>
      </c>
      <c r="C39" t="s">
        <v>20</v>
      </c>
      <c r="D39" s="1">
        <v>45179</v>
      </c>
      <c r="E39" t="s">
        <v>16</v>
      </c>
      <c r="F39">
        <v>11</v>
      </c>
      <c r="G39">
        <v>23</v>
      </c>
      <c r="H39">
        <v>11</v>
      </c>
      <c r="I39">
        <v>5</v>
      </c>
      <c r="J39">
        <v>6</v>
      </c>
      <c r="K39" t="s">
        <v>22</v>
      </c>
      <c r="L39">
        <v>14</v>
      </c>
      <c r="M39">
        <v>5</v>
      </c>
      <c r="N39">
        <f t="shared" si="1"/>
        <v>2023</v>
      </c>
    </row>
    <row r="40" spans="1:14" x14ac:dyDescent="0.3">
      <c r="A40" t="s">
        <v>77</v>
      </c>
      <c r="B40" t="s">
        <v>28</v>
      </c>
      <c r="C40" t="s">
        <v>29</v>
      </c>
      <c r="D40" s="1">
        <v>45089</v>
      </c>
      <c r="E40" t="s">
        <v>30</v>
      </c>
      <c r="F40" t="s">
        <v>31</v>
      </c>
      <c r="G40">
        <v>0</v>
      </c>
      <c r="H40">
        <v>7</v>
      </c>
      <c r="I40">
        <v>7</v>
      </c>
      <c r="J40">
        <v>3</v>
      </c>
      <c r="K40" t="s">
        <v>17</v>
      </c>
      <c r="L40">
        <v>16</v>
      </c>
      <c r="M40">
        <v>1</v>
      </c>
      <c r="N40">
        <f t="shared" si="1"/>
        <v>2023</v>
      </c>
    </row>
    <row r="41" spans="1:14" x14ac:dyDescent="0.3">
      <c r="A41" t="s">
        <v>78</v>
      </c>
      <c r="B41" t="s">
        <v>24</v>
      </c>
      <c r="C41" t="s">
        <v>36</v>
      </c>
      <c r="D41" s="1">
        <v>45633</v>
      </c>
      <c r="E41" t="s">
        <v>53</v>
      </c>
      <c r="F41">
        <v>13</v>
      </c>
      <c r="G41">
        <v>14</v>
      </c>
      <c r="H41">
        <v>7</v>
      </c>
      <c r="I41">
        <v>13</v>
      </c>
      <c r="J41">
        <v>4</v>
      </c>
      <c r="K41" t="s">
        <v>48</v>
      </c>
      <c r="L41">
        <v>20</v>
      </c>
      <c r="M41">
        <v>2</v>
      </c>
      <c r="N41">
        <f t="shared" si="1"/>
        <v>2024</v>
      </c>
    </row>
    <row r="42" spans="1:14" x14ac:dyDescent="0.3">
      <c r="A42" t="s">
        <v>79</v>
      </c>
      <c r="B42" t="s">
        <v>14</v>
      </c>
      <c r="C42" t="s">
        <v>36</v>
      </c>
      <c r="D42" s="1">
        <v>44995</v>
      </c>
      <c r="E42" t="s">
        <v>66</v>
      </c>
      <c r="F42">
        <v>16</v>
      </c>
      <c r="G42">
        <v>12</v>
      </c>
      <c r="H42">
        <v>7</v>
      </c>
      <c r="I42">
        <v>10</v>
      </c>
      <c r="J42">
        <v>7</v>
      </c>
      <c r="K42" t="s">
        <v>22</v>
      </c>
      <c r="L42">
        <v>18</v>
      </c>
      <c r="M42">
        <v>1</v>
      </c>
      <c r="N42">
        <f t="shared" si="1"/>
        <v>2023</v>
      </c>
    </row>
    <row r="43" spans="1:14" x14ac:dyDescent="0.3">
      <c r="A43" t="s">
        <v>80</v>
      </c>
      <c r="B43" t="s">
        <v>28</v>
      </c>
      <c r="C43" t="s">
        <v>45</v>
      </c>
      <c r="D43" s="1">
        <v>45426</v>
      </c>
      <c r="E43" t="s">
        <v>33</v>
      </c>
      <c r="F43">
        <v>19</v>
      </c>
      <c r="G43">
        <v>16</v>
      </c>
      <c r="H43">
        <v>17</v>
      </c>
      <c r="I43">
        <v>12</v>
      </c>
      <c r="J43">
        <v>5</v>
      </c>
      <c r="K43" t="s">
        <v>48</v>
      </c>
      <c r="L43">
        <v>16</v>
      </c>
      <c r="M43">
        <v>4</v>
      </c>
      <c r="N43">
        <f t="shared" si="1"/>
        <v>2024</v>
      </c>
    </row>
    <row r="44" spans="1:14" x14ac:dyDescent="0.3">
      <c r="A44" t="s">
        <v>81</v>
      </c>
      <c r="B44" t="s">
        <v>24</v>
      </c>
      <c r="C44" t="s">
        <v>20</v>
      </c>
      <c r="D44" s="1">
        <v>45491</v>
      </c>
      <c r="E44" t="s">
        <v>16</v>
      </c>
      <c r="F44">
        <v>11</v>
      </c>
      <c r="G44">
        <v>23</v>
      </c>
      <c r="H44">
        <v>7</v>
      </c>
      <c r="I44">
        <v>7</v>
      </c>
      <c r="J44">
        <v>8</v>
      </c>
      <c r="K44" t="s">
        <v>17</v>
      </c>
      <c r="L44">
        <v>17</v>
      </c>
      <c r="M44">
        <v>2</v>
      </c>
      <c r="N44">
        <f t="shared" si="1"/>
        <v>2024</v>
      </c>
    </row>
    <row r="45" spans="1:14" x14ac:dyDescent="0.3">
      <c r="A45" t="s">
        <v>82</v>
      </c>
      <c r="B45" t="s">
        <v>19</v>
      </c>
      <c r="C45" t="s">
        <v>15</v>
      </c>
      <c r="D45" s="1">
        <v>45283</v>
      </c>
      <c r="E45" t="s">
        <v>53</v>
      </c>
      <c r="F45">
        <v>17</v>
      </c>
      <c r="G45">
        <v>18</v>
      </c>
      <c r="H45">
        <v>7</v>
      </c>
      <c r="I45">
        <v>10</v>
      </c>
      <c r="J45">
        <v>6</v>
      </c>
      <c r="K45" t="s">
        <v>22</v>
      </c>
      <c r="L45">
        <v>19</v>
      </c>
      <c r="M45">
        <v>1</v>
      </c>
      <c r="N45">
        <f t="shared" si="1"/>
        <v>2023</v>
      </c>
    </row>
    <row r="46" spans="1:14" x14ac:dyDescent="0.3">
      <c r="A46" t="s">
        <v>83</v>
      </c>
      <c r="B46" t="s">
        <v>14</v>
      </c>
      <c r="C46" t="s">
        <v>29</v>
      </c>
      <c r="D46" s="1">
        <v>45167</v>
      </c>
      <c r="E46" t="s">
        <v>66</v>
      </c>
      <c r="F46" t="s">
        <v>39</v>
      </c>
      <c r="G46">
        <v>15</v>
      </c>
      <c r="H46">
        <v>7</v>
      </c>
      <c r="I46">
        <v>13</v>
      </c>
      <c r="J46">
        <v>4</v>
      </c>
      <c r="K46" t="s">
        <v>34</v>
      </c>
      <c r="L46">
        <v>11</v>
      </c>
      <c r="M46">
        <v>2</v>
      </c>
      <c r="N46">
        <f t="shared" si="1"/>
        <v>2023</v>
      </c>
    </row>
    <row r="47" spans="1:14" x14ac:dyDescent="0.3">
      <c r="A47" t="s">
        <v>84</v>
      </c>
      <c r="B47" t="s">
        <v>14</v>
      </c>
      <c r="C47" t="s">
        <v>25</v>
      </c>
      <c r="D47" s="1">
        <v>45212</v>
      </c>
      <c r="E47" t="s">
        <v>30</v>
      </c>
      <c r="F47">
        <v>13</v>
      </c>
      <c r="G47">
        <v>23</v>
      </c>
      <c r="H47">
        <v>7</v>
      </c>
      <c r="I47">
        <v>9</v>
      </c>
      <c r="J47">
        <v>5</v>
      </c>
      <c r="K47" t="s">
        <v>17</v>
      </c>
      <c r="L47">
        <v>15</v>
      </c>
      <c r="M47">
        <v>5</v>
      </c>
      <c r="N47">
        <f t="shared" si="1"/>
        <v>2023</v>
      </c>
    </row>
    <row r="48" spans="1:14" x14ac:dyDescent="0.3">
      <c r="A48" t="s">
        <v>85</v>
      </c>
      <c r="B48" t="s">
        <v>28</v>
      </c>
      <c r="C48" t="s">
        <v>36</v>
      </c>
      <c r="D48" s="1">
        <v>45608</v>
      </c>
      <c r="E48" t="s">
        <v>33</v>
      </c>
      <c r="F48">
        <v>12</v>
      </c>
      <c r="G48">
        <v>16</v>
      </c>
      <c r="H48">
        <v>9</v>
      </c>
      <c r="I48">
        <v>6</v>
      </c>
      <c r="J48">
        <v>2</v>
      </c>
      <c r="K48" t="s">
        <v>17</v>
      </c>
      <c r="L48">
        <v>14</v>
      </c>
      <c r="M48">
        <v>3</v>
      </c>
      <c r="N48">
        <f t="shared" si="1"/>
        <v>2024</v>
      </c>
    </row>
    <row r="49" spans="1:14" x14ac:dyDescent="0.3">
      <c r="A49" t="s">
        <v>86</v>
      </c>
      <c r="B49" t="s">
        <v>24</v>
      </c>
      <c r="C49" t="s">
        <v>20</v>
      </c>
      <c r="D49" s="1">
        <v>44946</v>
      </c>
      <c r="E49" t="s">
        <v>53</v>
      </c>
      <c r="F49">
        <v>19</v>
      </c>
      <c r="G49">
        <v>23</v>
      </c>
      <c r="H49">
        <v>7</v>
      </c>
      <c r="I49">
        <v>11</v>
      </c>
      <c r="J49">
        <v>6</v>
      </c>
      <c r="K49" t="s">
        <v>34</v>
      </c>
      <c r="L49">
        <v>13</v>
      </c>
      <c r="M49">
        <v>5</v>
      </c>
      <c r="N49">
        <f t="shared" si="1"/>
        <v>2023</v>
      </c>
    </row>
    <row r="50" spans="1:14" x14ac:dyDescent="0.3">
      <c r="A50" t="s">
        <v>87</v>
      </c>
      <c r="B50" t="s">
        <v>14</v>
      </c>
      <c r="C50" t="s">
        <v>45</v>
      </c>
      <c r="D50" s="1">
        <v>45393</v>
      </c>
      <c r="E50" t="s">
        <v>16</v>
      </c>
      <c r="F50">
        <v>16</v>
      </c>
      <c r="G50">
        <v>40</v>
      </c>
      <c r="H50">
        <v>7</v>
      </c>
      <c r="I50">
        <v>12</v>
      </c>
      <c r="J50">
        <v>4</v>
      </c>
      <c r="K50" t="s">
        <v>17</v>
      </c>
      <c r="L50">
        <v>12</v>
      </c>
      <c r="M50">
        <v>4</v>
      </c>
      <c r="N50">
        <f t="shared" si="1"/>
        <v>2024</v>
      </c>
    </row>
    <row r="51" spans="1:14" x14ac:dyDescent="0.3">
      <c r="A51" t="s">
        <v>88</v>
      </c>
      <c r="B51" t="s">
        <v>24</v>
      </c>
      <c r="C51" t="s">
        <v>25</v>
      </c>
      <c r="D51" s="1">
        <v>45129</v>
      </c>
      <c r="E51" t="s">
        <v>66</v>
      </c>
      <c r="F51">
        <v>17</v>
      </c>
      <c r="G51">
        <v>23</v>
      </c>
      <c r="H51">
        <v>7</v>
      </c>
      <c r="I51">
        <v>15</v>
      </c>
      <c r="J51">
        <v>5</v>
      </c>
      <c r="K51" t="s">
        <v>48</v>
      </c>
      <c r="L51">
        <v>19</v>
      </c>
      <c r="M51">
        <v>3</v>
      </c>
      <c r="N51">
        <f t="shared" si="1"/>
        <v>2023</v>
      </c>
    </row>
    <row r="52" spans="1:14" x14ac:dyDescent="0.3">
      <c r="A52" t="s">
        <v>89</v>
      </c>
      <c r="B52" t="s">
        <v>14</v>
      </c>
      <c r="C52" t="s">
        <v>29</v>
      </c>
      <c r="D52" s="1">
        <v>45003</v>
      </c>
      <c r="E52" t="s">
        <v>30</v>
      </c>
      <c r="F52" t="s">
        <v>54</v>
      </c>
      <c r="G52">
        <v>25</v>
      </c>
      <c r="H52">
        <v>7</v>
      </c>
      <c r="I52">
        <v>11</v>
      </c>
      <c r="J52">
        <v>5</v>
      </c>
      <c r="K52" t="s">
        <v>22</v>
      </c>
      <c r="L52">
        <v>18</v>
      </c>
      <c r="M52">
        <v>4</v>
      </c>
      <c r="N52">
        <f t="shared" si="1"/>
        <v>2023</v>
      </c>
    </row>
    <row r="53" spans="1:14" x14ac:dyDescent="0.3">
      <c r="A53" t="s">
        <v>90</v>
      </c>
      <c r="B53" t="s">
        <v>24</v>
      </c>
      <c r="C53" t="s">
        <v>15</v>
      </c>
      <c r="D53" s="1">
        <v>45348</v>
      </c>
      <c r="E53" t="s">
        <v>33</v>
      </c>
      <c r="F53">
        <v>19</v>
      </c>
      <c r="G53">
        <v>23</v>
      </c>
      <c r="H53">
        <v>8</v>
      </c>
      <c r="I53">
        <v>15</v>
      </c>
      <c r="J53">
        <v>6</v>
      </c>
      <c r="K53" t="s">
        <v>34</v>
      </c>
      <c r="L53">
        <v>16</v>
      </c>
      <c r="M53">
        <v>1</v>
      </c>
      <c r="N53">
        <f t="shared" si="1"/>
        <v>2024</v>
      </c>
    </row>
    <row r="54" spans="1:14" x14ac:dyDescent="0.3">
      <c r="A54" t="s">
        <v>91</v>
      </c>
      <c r="B54" t="s">
        <v>28</v>
      </c>
      <c r="C54" t="s">
        <v>36</v>
      </c>
      <c r="D54" s="1">
        <v>45643</v>
      </c>
      <c r="E54" t="s">
        <v>16</v>
      </c>
      <c r="F54">
        <v>14</v>
      </c>
      <c r="G54">
        <v>15</v>
      </c>
      <c r="H54">
        <v>7</v>
      </c>
      <c r="I54">
        <v>7</v>
      </c>
      <c r="J54">
        <v>5</v>
      </c>
      <c r="K54" t="s">
        <v>48</v>
      </c>
      <c r="L54">
        <v>15</v>
      </c>
      <c r="M54">
        <v>3</v>
      </c>
      <c r="N54">
        <f t="shared" si="1"/>
        <v>2024</v>
      </c>
    </row>
    <row r="55" spans="1:14" x14ac:dyDescent="0.3">
      <c r="A55" t="s">
        <v>92</v>
      </c>
      <c r="B55" t="s">
        <v>14</v>
      </c>
      <c r="C55" t="s">
        <v>45</v>
      </c>
      <c r="D55" s="1">
        <v>45056</v>
      </c>
      <c r="E55" t="s">
        <v>53</v>
      </c>
      <c r="F55">
        <v>11</v>
      </c>
      <c r="G55">
        <v>23</v>
      </c>
      <c r="H55">
        <v>7</v>
      </c>
      <c r="I55">
        <v>6</v>
      </c>
      <c r="J55">
        <v>3</v>
      </c>
      <c r="K55" t="s">
        <v>17</v>
      </c>
      <c r="L55">
        <v>17</v>
      </c>
      <c r="M55">
        <v>2</v>
      </c>
      <c r="N55">
        <f t="shared" si="1"/>
        <v>2023</v>
      </c>
    </row>
    <row r="56" spans="1:14" x14ac:dyDescent="0.3">
      <c r="A56" t="s">
        <v>93</v>
      </c>
      <c r="B56" t="s">
        <v>14</v>
      </c>
      <c r="C56" t="s">
        <v>25</v>
      </c>
      <c r="D56" s="1">
        <v>45559</v>
      </c>
      <c r="E56" t="s">
        <v>66</v>
      </c>
      <c r="F56">
        <v>16</v>
      </c>
      <c r="G56">
        <v>36</v>
      </c>
      <c r="H56">
        <v>7</v>
      </c>
      <c r="I56">
        <v>9</v>
      </c>
      <c r="J56">
        <v>7</v>
      </c>
      <c r="K56" t="s">
        <v>22</v>
      </c>
      <c r="L56">
        <v>13</v>
      </c>
      <c r="M56">
        <v>5</v>
      </c>
      <c r="N56">
        <f t="shared" si="1"/>
        <v>2024</v>
      </c>
    </row>
    <row r="57" spans="1:14" x14ac:dyDescent="0.3">
      <c r="A57" t="s">
        <v>94</v>
      </c>
      <c r="B57" t="s">
        <v>19</v>
      </c>
      <c r="C57" t="s">
        <v>20</v>
      </c>
      <c r="D57" s="1">
        <v>44971</v>
      </c>
      <c r="E57" t="s">
        <v>30</v>
      </c>
      <c r="F57">
        <v>13</v>
      </c>
      <c r="G57">
        <v>18</v>
      </c>
      <c r="H57">
        <v>7</v>
      </c>
      <c r="I57">
        <v>8</v>
      </c>
      <c r="J57">
        <v>6</v>
      </c>
      <c r="K57" t="s">
        <v>34</v>
      </c>
      <c r="L57">
        <v>19</v>
      </c>
      <c r="M57">
        <v>4</v>
      </c>
      <c r="N57">
        <f t="shared" si="1"/>
        <v>2023</v>
      </c>
    </row>
    <row r="58" spans="1:14" x14ac:dyDescent="0.3">
      <c r="A58" t="s">
        <v>95</v>
      </c>
      <c r="B58" t="s">
        <v>28</v>
      </c>
      <c r="C58" t="s">
        <v>29</v>
      </c>
      <c r="D58" s="1">
        <v>45654</v>
      </c>
      <c r="E58" t="s">
        <v>33</v>
      </c>
      <c r="F58" t="s">
        <v>57</v>
      </c>
      <c r="G58">
        <v>40</v>
      </c>
      <c r="H58">
        <v>7</v>
      </c>
      <c r="I58">
        <v>10</v>
      </c>
      <c r="J58">
        <v>5</v>
      </c>
      <c r="K58" t="s">
        <v>48</v>
      </c>
      <c r="L58">
        <v>14</v>
      </c>
      <c r="M58">
        <v>3</v>
      </c>
      <c r="N58">
        <f t="shared" si="1"/>
        <v>2024</v>
      </c>
    </row>
    <row r="59" spans="1:14" x14ac:dyDescent="0.3">
      <c r="A59" t="s">
        <v>96</v>
      </c>
      <c r="B59" t="s">
        <v>24</v>
      </c>
      <c r="C59" t="s">
        <v>36</v>
      </c>
      <c r="D59" s="1">
        <v>45455</v>
      </c>
      <c r="E59" t="s">
        <v>66</v>
      </c>
      <c r="F59">
        <v>15</v>
      </c>
      <c r="G59">
        <v>23</v>
      </c>
      <c r="H59">
        <v>2</v>
      </c>
      <c r="I59">
        <v>12</v>
      </c>
      <c r="J59">
        <v>8</v>
      </c>
      <c r="K59" t="s">
        <v>17</v>
      </c>
      <c r="L59">
        <v>12</v>
      </c>
      <c r="M59">
        <v>5</v>
      </c>
      <c r="N59">
        <f t="shared" si="1"/>
        <v>2024</v>
      </c>
    </row>
    <row r="60" spans="1:14" x14ac:dyDescent="0.3">
      <c r="A60" t="s">
        <v>97</v>
      </c>
      <c r="B60" t="s">
        <v>14</v>
      </c>
      <c r="C60" t="s">
        <v>45</v>
      </c>
      <c r="D60" s="1">
        <v>45117</v>
      </c>
      <c r="E60" t="s">
        <v>16</v>
      </c>
      <c r="F60">
        <v>18</v>
      </c>
      <c r="G60">
        <v>41</v>
      </c>
      <c r="H60">
        <v>2</v>
      </c>
      <c r="I60">
        <v>13</v>
      </c>
      <c r="J60">
        <v>4</v>
      </c>
      <c r="K60" t="s">
        <v>48</v>
      </c>
      <c r="L60">
        <v>16</v>
      </c>
      <c r="M60">
        <v>2</v>
      </c>
      <c r="N60">
        <f t="shared" si="1"/>
        <v>2023</v>
      </c>
    </row>
    <row r="61" spans="1:14" x14ac:dyDescent="0.3">
      <c r="A61" t="s">
        <v>98</v>
      </c>
      <c r="B61" t="s">
        <v>14</v>
      </c>
      <c r="C61" t="s">
        <v>25</v>
      </c>
      <c r="D61" s="1">
        <v>45252</v>
      </c>
      <c r="E61" t="s">
        <v>53</v>
      </c>
      <c r="F61">
        <v>19</v>
      </c>
      <c r="G61">
        <v>23</v>
      </c>
      <c r="H61">
        <v>4</v>
      </c>
      <c r="I61">
        <v>14</v>
      </c>
      <c r="J61">
        <v>5</v>
      </c>
      <c r="K61" t="s">
        <v>34</v>
      </c>
      <c r="L61">
        <v>17</v>
      </c>
      <c r="M61">
        <v>3</v>
      </c>
      <c r="N61">
        <f t="shared" si="1"/>
        <v>2023</v>
      </c>
    </row>
    <row r="62" spans="1:14" x14ac:dyDescent="0.3">
      <c r="A62" t="s">
        <v>99</v>
      </c>
      <c r="B62" t="s">
        <v>28</v>
      </c>
      <c r="C62" t="s">
        <v>20</v>
      </c>
      <c r="D62" s="1">
        <v>44950</v>
      </c>
      <c r="E62" t="s">
        <v>30</v>
      </c>
      <c r="F62">
        <v>18</v>
      </c>
      <c r="G62">
        <v>20</v>
      </c>
      <c r="H62">
        <v>2</v>
      </c>
      <c r="I62">
        <v>9</v>
      </c>
      <c r="J62">
        <v>4</v>
      </c>
      <c r="K62" t="s">
        <v>17</v>
      </c>
      <c r="L62">
        <v>14</v>
      </c>
      <c r="M62">
        <v>2</v>
      </c>
      <c r="N62">
        <f t="shared" si="1"/>
        <v>2023</v>
      </c>
    </row>
    <row r="63" spans="1:14" x14ac:dyDescent="0.3">
      <c r="A63" t="s">
        <v>100</v>
      </c>
      <c r="B63" t="s">
        <v>14</v>
      </c>
      <c r="C63" t="s">
        <v>15</v>
      </c>
      <c r="D63" s="1">
        <v>45025</v>
      </c>
      <c r="E63" t="s">
        <v>53</v>
      </c>
      <c r="F63">
        <v>12</v>
      </c>
      <c r="G63">
        <v>46</v>
      </c>
      <c r="H63">
        <v>1</v>
      </c>
      <c r="I63">
        <v>15</v>
      </c>
      <c r="J63">
        <v>6</v>
      </c>
      <c r="K63" t="s">
        <v>22</v>
      </c>
      <c r="L63">
        <v>16</v>
      </c>
      <c r="M63">
        <v>4</v>
      </c>
      <c r="N63">
        <f t="shared" si="1"/>
        <v>2023</v>
      </c>
    </row>
    <row r="64" spans="1:14" x14ac:dyDescent="0.3">
      <c r="A64" t="s">
        <v>101</v>
      </c>
      <c r="B64" t="s">
        <v>24</v>
      </c>
      <c r="C64" t="s">
        <v>36</v>
      </c>
      <c r="D64" s="1">
        <v>45252</v>
      </c>
      <c r="E64" t="s">
        <v>16</v>
      </c>
      <c r="F64">
        <v>16</v>
      </c>
      <c r="G64">
        <v>13</v>
      </c>
      <c r="H64">
        <v>2</v>
      </c>
      <c r="I64">
        <v>10</v>
      </c>
      <c r="J64">
        <v>8</v>
      </c>
      <c r="K64" t="s">
        <v>34</v>
      </c>
      <c r="L64">
        <v>19</v>
      </c>
      <c r="M64">
        <v>1</v>
      </c>
      <c r="N64">
        <f t="shared" si="1"/>
        <v>2023</v>
      </c>
    </row>
    <row r="65" spans="1:14" x14ac:dyDescent="0.3">
      <c r="A65" t="s">
        <v>102</v>
      </c>
      <c r="B65" t="s">
        <v>14</v>
      </c>
      <c r="C65" t="s">
        <v>45</v>
      </c>
      <c r="D65" s="1">
        <v>45222</v>
      </c>
      <c r="E65" t="s">
        <v>66</v>
      </c>
      <c r="F65">
        <v>11</v>
      </c>
      <c r="G65">
        <v>23</v>
      </c>
      <c r="H65">
        <v>2</v>
      </c>
      <c r="I65">
        <v>7</v>
      </c>
      <c r="J65">
        <v>5</v>
      </c>
      <c r="K65" t="s">
        <v>48</v>
      </c>
      <c r="L65">
        <v>11</v>
      </c>
      <c r="M65">
        <v>3</v>
      </c>
      <c r="N65">
        <f t="shared" si="1"/>
        <v>2023</v>
      </c>
    </row>
    <row r="66" spans="1:14" x14ac:dyDescent="0.3">
      <c r="A66" t="s">
        <v>103</v>
      </c>
      <c r="B66" t="s">
        <v>19</v>
      </c>
      <c r="C66" t="s">
        <v>29</v>
      </c>
      <c r="D66" s="1">
        <v>44982</v>
      </c>
      <c r="E66" t="s">
        <v>30</v>
      </c>
      <c r="F66" t="s">
        <v>72</v>
      </c>
      <c r="G66">
        <v>50</v>
      </c>
      <c r="H66">
        <v>3</v>
      </c>
      <c r="I66">
        <v>9</v>
      </c>
      <c r="J66">
        <v>3</v>
      </c>
      <c r="K66" t="s">
        <v>17</v>
      </c>
      <c r="L66">
        <v>15</v>
      </c>
      <c r="M66">
        <v>2</v>
      </c>
      <c r="N66">
        <f t="shared" ref="N66:N100" si="2">YEAR(D:D)</f>
        <v>2023</v>
      </c>
    </row>
    <row r="67" spans="1:14" x14ac:dyDescent="0.3">
      <c r="A67" t="s">
        <v>104</v>
      </c>
      <c r="B67" t="s">
        <v>14</v>
      </c>
      <c r="C67" t="s">
        <v>25</v>
      </c>
      <c r="D67" s="1">
        <v>45481</v>
      </c>
      <c r="E67" t="s">
        <v>21</v>
      </c>
      <c r="F67">
        <v>19</v>
      </c>
      <c r="G67">
        <v>15</v>
      </c>
      <c r="H67">
        <v>2</v>
      </c>
      <c r="I67">
        <v>12</v>
      </c>
      <c r="J67">
        <v>7</v>
      </c>
      <c r="K67" t="s">
        <v>22</v>
      </c>
      <c r="L67">
        <v>17</v>
      </c>
      <c r="M67">
        <v>5</v>
      </c>
      <c r="N67">
        <f t="shared" si="2"/>
        <v>2024</v>
      </c>
    </row>
    <row r="68" spans="1:14" x14ac:dyDescent="0.3">
      <c r="A68" t="s">
        <v>105</v>
      </c>
      <c r="B68" t="s">
        <v>28</v>
      </c>
      <c r="C68" t="s">
        <v>20</v>
      </c>
      <c r="D68" s="1">
        <v>45056</v>
      </c>
      <c r="E68" t="s">
        <v>53</v>
      </c>
      <c r="F68">
        <v>14</v>
      </c>
      <c r="G68">
        <v>20</v>
      </c>
      <c r="H68">
        <v>2</v>
      </c>
      <c r="I68">
        <v>11</v>
      </c>
      <c r="J68">
        <v>6</v>
      </c>
      <c r="K68" t="s">
        <v>48</v>
      </c>
      <c r="L68">
        <v>12</v>
      </c>
      <c r="M68">
        <v>1</v>
      </c>
      <c r="N68">
        <f t="shared" si="2"/>
        <v>2023</v>
      </c>
    </row>
    <row r="69" spans="1:14" x14ac:dyDescent="0.3">
      <c r="A69" t="s">
        <v>106</v>
      </c>
      <c r="B69" t="s">
        <v>14</v>
      </c>
      <c r="C69" t="s">
        <v>15</v>
      </c>
      <c r="D69" s="1">
        <v>45178</v>
      </c>
      <c r="E69" t="s">
        <v>16</v>
      </c>
      <c r="F69">
        <v>18</v>
      </c>
      <c r="G69">
        <v>23</v>
      </c>
      <c r="H69">
        <v>2</v>
      </c>
      <c r="I69">
        <v>8</v>
      </c>
      <c r="J69">
        <v>7</v>
      </c>
      <c r="K69" t="s">
        <v>34</v>
      </c>
      <c r="L69">
        <v>13</v>
      </c>
      <c r="M69">
        <v>4</v>
      </c>
      <c r="N69">
        <f t="shared" si="2"/>
        <v>2023</v>
      </c>
    </row>
    <row r="70" spans="1:14" x14ac:dyDescent="0.3">
      <c r="A70" t="s">
        <v>107</v>
      </c>
      <c r="B70" t="s">
        <v>19</v>
      </c>
      <c r="C70" t="s">
        <v>36</v>
      </c>
      <c r="D70" s="1">
        <v>45363</v>
      </c>
      <c r="E70" t="s">
        <v>21</v>
      </c>
      <c r="F70">
        <v>15</v>
      </c>
      <c r="G70">
        <v>18</v>
      </c>
      <c r="H70">
        <v>2</v>
      </c>
      <c r="I70">
        <v>10</v>
      </c>
      <c r="J70">
        <v>5</v>
      </c>
      <c r="K70" t="s">
        <v>17</v>
      </c>
      <c r="L70">
        <v>18</v>
      </c>
      <c r="M70">
        <v>3</v>
      </c>
      <c r="N70">
        <f t="shared" si="2"/>
        <v>2024</v>
      </c>
    </row>
    <row r="71" spans="1:14" x14ac:dyDescent="0.3">
      <c r="A71" t="s">
        <v>108</v>
      </c>
      <c r="B71" t="s">
        <v>14</v>
      </c>
      <c r="C71" t="s">
        <v>25</v>
      </c>
      <c r="D71" s="1">
        <v>45263</v>
      </c>
      <c r="E71" t="s">
        <v>66</v>
      </c>
      <c r="F71">
        <v>17</v>
      </c>
      <c r="G71">
        <v>44</v>
      </c>
      <c r="H71">
        <v>2</v>
      </c>
      <c r="I71">
        <v>13</v>
      </c>
      <c r="J71">
        <v>5</v>
      </c>
      <c r="K71" t="s">
        <v>48</v>
      </c>
      <c r="L71">
        <v>20</v>
      </c>
      <c r="M71">
        <v>2</v>
      </c>
      <c r="N71">
        <f t="shared" si="2"/>
        <v>2023</v>
      </c>
    </row>
    <row r="72" spans="1:14" x14ac:dyDescent="0.3">
      <c r="A72" t="s">
        <v>109</v>
      </c>
      <c r="B72" t="s">
        <v>24</v>
      </c>
      <c r="C72" t="s">
        <v>29</v>
      </c>
      <c r="D72" s="1">
        <v>45370</v>
      </c>
      <c r="E72" t="s">
        <v>30</v>
      </c>
      <c r="F72" t="s">
        <v>31</v>
      </c>
      <c r="G72">
        <v>0</v>
      </c>
      <c r="H72">
        <v>2</v>
      </c>
      <c r="I72">
        <v>8</v>
      </c>
      <c r="J72">
        <v>6</v>
      </c>
      <c r="K72" t="s">
        <v>22</v>
      </c>
      <c r="L72">
        <v>12</v>
      </c>
      <c r="M72">
        <v>2</v>
      </c>
      <c r="N72">
        <f t="shared" si="2"/>
        <v>2024</v>
      </c>
    </row>
    <row r="73" spans="1:14" x14ac:dyDescent="0.3">
      <c r="A73" t="s">
        <v>110</v>
      </c>
      <c r="B73" t="s">
        <v>14</v>
      </c>
      <c r="C73" t="s">
        <v>25</v>
      </c>
      <c r="D73" s="1">
        <v>45118</v>
      </c>
      <c r="E73" t="s">
        <v>53</v>
      </c>
      <c r="F73">
        <v>15</v>
      </c>
      <c r="G73">
        <v>38</v>
      </c>
      <c r="H73">
        <v>5</v>
      </c>
      <c r="I73">
        <v>10</v>
      </c>
      <c r="J73">
        <v>4</v>
      </c>
      <c r="K73" t="s">
        <v>34</v>
      </c>
      <c r="L73">
        <v>18</v>
      </c>
      <c r="M73">
        <v>3</v>
      </c>
      <c r="N73">
        <f t="shared" si="2"/>
        <v>2023</v>
      </c>
    </row>
    <row r="74" spans="1:14" x14ac:dyDescent="0.3">
      <c r="A74" t="s">
        <v>111</v>
      </c>
      <c r="B74" t="s">
        <v>28</v>
      </c>
      <c r="C74" t="s">
        <v>36</v>
      </c>
      <c r="D74" s="1">
        <v>45617</v>
      </c>
      <c r="E74" t="s">
        <v>30</v>
      </c>
      <c r="F74">
        <v>18</v>
      </c>
      <c r="G74">
        <v>20</v>
      </c>
      <c r="H74">
        <v>2</v>
      </c>
      <c r="I74">
        <v>13</v>
      </c>
      <c r="J74">
        <v>5</v>
      </c>
      <c r="K74" t="s">
        <v>48</v>
      </c>
      <c r="L74">
        <v>17</v>
      </c>
      <c r="M74">
        <v>1</v>
      </c>
      <c r="N74">
        <f t="shared" si="2"/>
        <v>2024</v>
      </c>
    </row>
    <row r="75" spans="1:14" x14ac:dyDescent="0.3">
      <c r="A75" t="s">
        <v>112</v>
      </c>
      <c r="B75" t="s">
        <v>19</v>
      </c>
      <c r="C75" t="s">
        <v>45</v>
      </c>
      <c r="D75" s="1">
        <v>45282</v>
      </c>
      <c r="E75" t="s">
        <v>53</v>
      </c>
      <c r="F75">
        <v>19</v>
      </c>
      <c r="G75">
        <v>18</v>
      </c>
      <c r="H75">
        <v>1</v>
      </c>
      <c r="I75">
        <v>12</v>
      </c>
      <c r="J75">
        <v>6</v>
      </c>
      <c r="K75" t="s">
        <v>17</v>
      </c>
      <c r="L75">
        <v>15</v>
      </c>
      <c r="M75">
        <v>4</v>
      </c>
      <c r="N75">
        <f t="shared" si="2"/>
        <v>2023</v>
      </c>
    </row>
    <row r="76" spans="1:14" x14ac:dyDescent="0.3">
      <c r="A76" t="s">
        <v>113</v>
      </c>
      <c r="B76" t="s">
        <v>24</v>
      </c>
      <c r="C76" t="s">
        <v>15</v>
      </c>
      <c r="D76" s="1">
        <v>44942</v>
      </c>
      <c r="E76" t="s">
        <v>16</v>
      </c>
      <c r="F76">
        <v>12</v>
      </c>
      <c r="G76">
        <v>23</v>
      </c>
      <c r="H76">
        <v>2</v>
      </c>
      <c r="I76">
        <v>15</v>
      </c>
      <c r="J76">
        <v>4</v>
      </c>
      <c r="K76" t="s">
        <v>17</v>
      </c>
      <c r="L76">
        <v>14</v>
      </c>
      <c r="M76">
        <v>2</v>
      </c>
      <c r="N76">
        <f t="shared" si="2"/>
        <v>2023</v>
      </c>
    </row>
    <row r="77" spans="1:14" x14ac:dyDescent="0.3">
      <c r="A77" t="s">
        <v>114</v>
      </c>
      <c r="B77" t="s">
        <v>14</v>
      </c>
      <c r="C77" t="s">
        <v>20</v>
      </c>
      <c r="D77" s="1">
        <v>45487</v>
      </c>
      <c r="E77" t="s">
        <v>66</v>
      </c>
      <c r="F77">
        <v>16</v>
      </c>
      <c r="G77">
        <v>14</v>
      </c>
      <c r="H77">
        <v>2</v>
      </c>
      <c r="I77">
        <v>11</v>
      </c>
      <c r="J77">
        <v>8</v>
      </c>
      <c r="K77" t="s">
        <v>22</v>
      </c>
      <c r="L77">
        <v>19</v>
      </c>
      <c r="M77">
        <v>3</v>
      </c>
      <c r="N77">
        <f t="shared" si="2"/>
        <v>2024</v>
      </c>
    </row>
    <row r="78" spans="1:14" x14ac:dyDescent="0.3">
      <c r="A78" t="s">
        <v>115</v>
      </c>
      <c r="B78" t="s">
        <v>14</v>
      </c>
      <c r="C78" t="s">
        <v>29</v>
      </c>
      <c r="D78" s="1">
        <v>45253</v>
      </c>
      <c r="E78" t="s">
        <v>21</v>
      </c>
      <c r="F78" t="s">
        <v>39</v>
      </c>
      <c r="G78">
        <v>7.5</v>
      </c>
      <c r="H78">
        <v>2</v>
      </c>
      <c r="I78">
        <v>14</v>
      </c>
      <c r="J78">
        <v>7</v>
      </c>
      <c r="K78" t="s">
        <v>48</v>
      </c>
      <c r="L78">
        <v>16</v>
      </c>
      <c r="M78">
        <v>5</v>
      </c>
      <c r="N78">
        <f t="shared" si="2"/>
        <v>2023</v>
      </c>
    </row>
    <row r="79" spans="1:14" x14ac:dyDescent="0.3">
      <c r="A79" t="s">
        <v>116</v>
      </c>
      <c r="B79" t="s">
        <v>28</v>
      </c>
      <c r="C79" t="s">
        <v>36</v>
      </c>
      <c r="D79" s="1">
        <v>45094</v>
      </c>
      <c r="E79" t="s">
        <v>53</v>
      </c>
      <c r="F79">
        <v>17</v>
      </c>
      <c r="G79">
        <v>10</v>
      </c>
      <c r="H79">
        <v>3</v>
      </c>
      <c r="I79">
        <v>8</v>
      </c>
      <c r="J79">
        <v>5</v>
      </c>
      <c r="K79" t="s">
        <v>34</v>
      </c>
      <c r="L79">
        <v>13</v>
      </c>
      <c r="M79">
        <v>2</v>
      </c>
      <c r="N79">
        <f t="shared" si="2"/>
        <v>2023</v>
      </c>
    </row>
    <row r="80" spans="1:14" x14ac:dyDescent="0.3">
      <c r="A80" t="s">
        <v>117</v>
      </c>
      <c r="B80" t="s">
        <v>19</v>
      </c>
      <c r="C80" t="s">
        <v>25</v>
      </c>
      <c r="D80" s="1">
        <v>45587</v>
      </c>
      <c r="E80" t="s">
        <v>16</v>
      </c>
      <c r="F80">
        <v>19</v>
      </c>
      <c r="G80">
        <v>18</v>
      </c>
      <c r="H80">
        <v>2</v>
      </c>
      <c r="I80">
        <v>12</v>
      </c>
      <c r="J80">
        <v>9</v>
      </c>
      <c r="K80" t="s">
        <v>17</v>
      </c>
      <c r="L80">
        <v>20</v>
      </c>
      <c r="M80">
        <v>1</v>
      </c>
      <c r="N80">
        <f t="shared" si="2"/>
        <v>2024</v>
      </c>
    </row>
    <row r="81" spans="1:14" x14ac:dyDescent="0.3">
      <c r="A81" t="s">
        <v>118</v>
      </c>
      <c r="B81" t="s">
        <v>14</v>
      </c>
      <c r="C81" t="s">
        <v>45</v>
      </c>
      <c r="D81" s="1">
        <v>45071</v>
      </c>
      <c r="E81" t="s">
        <v>26</v>
      </c>
      <c r="F81">
        <v>18</v>
      </c>
      <c r="G81">
        <v>46</v>
      </c>
      <c r="H81">
        <v>2</v>
      </c>
      <c r="I81">
        <v>11</v>
      </c>
      <c r="J81">
        <v>6</v>
      </c>
      <c r="K81" t="s">
        <v>48</v>
      </c>
      <c r="L81">
        <v>17</v>
      </c>
      <c r="M81">
        <v>4</v>
      </c>
      <c r="N81">
        <f t="shared" si="2"/>
        <v>2023</v>
      </c>
    </row>
    <row r="82" spans="1:14" x14ac:dyDescent="0.3">
      <c r="A82" t="s">
        <v>119</v>
      </c>
      <c r="B82" t="s">
        <v>24</v>
      </c>
      <c r="C82" t="s">
        <v>29</v>
      </c>
      <c r="D82" s="1">
        <v>45004</v>
      </c>
      <c r="E82" t="s">
        <v>30</v>
      </c>
      <c r="F82" t="s">
        <v>54</v>
      </c>
      <c r="G82">
        <v>25</v>
      </c>
      <c r="H82">
        <v>3</v>
      </c>
      <c r="I82">
        <v>8</v>
      </c>
      <c r="J82">
        <v>6</v>
      </c>
      <c r="K82" t="s">
        <v>22</v>
      </c>
      <c r="L82">
        <v>12</v>
      </c>
      <c r="M82">
        <v>2</v>
      </c>
      <c r="N82">
        <f t="shared" si="2"/>
        <v>2023</v>
      </c>
    </row>
    <row r="83" spans="1:14" x14ac:dyDescent="0.3">
      <c r="A83" t="s">
        <v>120</v>
      </c>
      <c r="B83" t="s">
        <v>14</v>
      </c>
      <c r="C83" t="s">
        <v>25</v>
      </c>
      <c r="D83" s="1">
        <v>45118</v>
      </c>
      <c r="E83" t="s">
        <v>21</v>
      </c>
      <c r="F83">
        <v>15</v>
      </c>
      <c r="G83">
        <v>38</v>
      </c>
      <c r="H83">
        <v>2</v>
      </c>
      <c r="I83">
        <v>10</v>
      </c>
      <c r="J83">
        <v>4</v>
      </c>
      <c r="K83" t="s">
        <v>34</v>
      </c>
      <c r="L83">
        <v>18</v>
      </c>
      <c r="M83">
        <v>3</v>
      </c>
      <c r="N83">
        <f t="shared" si="2"/>
        <v>2023</v>
      </c>
    </row>
    <row r="84" spans="1:14" x14ac:dyDescent="0.3">
      <c r="A84" t="s">
        <v>121</v>
      </c>
      <c r="B84" t="s">
        <v>28</v>
      </c>
      <c r="C84" t="s">
        <v>36</v>
      </c>
      <c r="D84" s="1">
        <v>45550</v>
      </c>
      <c r="E84" t="s">
        <v>33</v>
      </c>
      <c r="F84">
        <v>18</v>
      </c>
      <c r="G84">
        <v>20</v>
      </c>
      <c r="H84">
        <v>2</v>
      </c>
      <c r="I84">
        <v>13</v>
      </c>
      <c r="J84">
        <v>5</v>
      </c>
      <c r="K84" t="s">
        <v>48</v>
      </c>
      <c r="L84">
        <v>17</v>
      </c>
      <c r="M84">
        <v>1</v>
      </c>
      <c r="N84">
        <f t="shared" si="2"/>
        <v>2024</v>
      </c>
    </row>
    <row r="85" spans="1:14" x14ac:dyDescent="0.3">
      <c r="A85" t="s">
        <v>122</v>
      </c>
      <c r="B85" t="s">
        <v>19</v>
      </c>
      <c r="C85" t="s">
        <v>45</v>
      </c>
      <c r="D85" s="1">
        <v>45648</v>
      </c>
      <c r="E85" t="s">
        <v>16</v>
      </c>
      <c r="F85">
        <v>19</v>
      </c>
      <c r="G85">
        <v>36</v>
      </c>
      <c r="H85">
        <v>2</v>
      </c>
      <c r="I85">
        <v>12</v>
      </c>
      <c r="J85">
        <v>6</v>
      </c>
      <c r="K85" t="s">
        <v>17</v>
      </c>
      <c r="L85">
        <v>15</v>
      </c>
      <c r="M85">
        <v>4</v>
      </c>
      <c r="N85">
        <f t="shared" si="2"/>
        <v>2024</v>
      </c>
    </row>
    <row r="86" spans="1:14" x14ac:dyDescent="0.3">
      <c r="A86" t="s">
        <v>123</v>
      </c>
      <c r="B86" t="s">
        <v>24</v>
      </c>
      <c r="C86" t="s">
        <v>15</v>
      </c>
      <c r="D86" s="1">
        <v>45309</v>
      </c>
      <c r="E86" t="s">
        <v>21</v>
      </c>
      <c r="F86">
        <v>12</v>
      </c>
      <c r="G86">
        <v>23</v>
      </c>
      <c r="H86">
        <v>2</v>
      </c>
      <c r="I86">
        <v>15</v>
      </c>
      <c r="J86">
        <v>4</v>
      </c>
      <c r="K86" t="s">
        <v>17</v>
      </c>
      <c r="L86">
        <v>14</v>
      </c>
      <c r="M86">
        <v>2</v>
      </c>
      <c r="N86">
        <f t="shared" si="2"/>
        <v>2024</v>
      </c>
    </row>
    <row r="87" spans="1:14" x14ac:dyDescent="0.3">
      <c r="A87" t="s">
        <v>124</v>
      </c>
      <c r="B87" t="s">
        <v>14</v>
      </c>
      <c r="C87" t="s">
        <v>20</v>
      </c>
      <c r="D87" s="1">
        <v>45121</v>
      </c>
      <c r="E87" t="s">
        <v>26</v>
      </c>
      <c r="F87">
        <v>16</v>
      </c>
      <c r="G87">
        <v>14</v>
      </c>
      <c r="H87">
        <v>2</v>
      </c>
      <c r="I87">
        <v>11</v>
      </c>
      <c r="J87">
        <v>8</v>
      </c>
      <c r="K87" t="s">
        <v>22</v>
      </c>
      <c r="L87">
        <v>19</v>
      </c>
      <c r="M87">
        <v>3</v>
      </c>
      <c r="N87">
        <f t="shared" si="2"/>
        <v>2023</v>
      </c>
    </row>
    <row r="88" spans="1:14" x14ac:dyDescent="0.3">
      <c r="A88" t="s">
        <v>125</v>
      </c>
      <c r="B88" t="s">
        <v>14</v>
      </c>
      <c r="C88" t="s">
        <v>29</v>
      </c>
      <c r="D88" s="1">
        <v>45283</v>
      </c>
      <c r="E88" t="s">
        <v>30</v>
      </c>
      <c r="F88" t="s">
        <v>57</v>
      </c>
      <c r="G88">
        <v>22.5</v>
      </c>
      <c r="H88">
        <v>2</v>
      </c>
      <c r="I88">
        <v>14</v>
      </c>
      <c r="J88">
        <v>7</v>
      </c>
      <c r="K88" t="s">
        <v>48</v>
      </c>
      <c r="L88">
        <v>16</v>
      </c>
      <c r="M88">
        <v>5</v>
      </c>
      <c r="N88">
        <f t="shared" si="2"/>
        <v>2023</v>
      </c>
    </row>
    <row r="89" spans="1:14" x14ac:dyDescent="0.3">
      <c r="A89" t="s">
        <v>126</v>
      </c>
      <c r="B89" t="s">
        <v>28</v>
      </c>
      <c r="C89" t="s">
        <v>36</v>
      </c>
      <c r="D89" s="1">
        <v>45460</v>
      </c>
      <c r="E89" t="s">
        <v>33</v>
      </c>
      <c r="F89">
        <v>17</v>
      </c>
      <c r="G89">
        <v>20</v>
      </c>
      <c r="H89">
        <v>2</v>
      </c>
      <c r="I89">
        <v>8</v>
      </c>
      <c r="J89">
        <v>5</v>
      </c>
      <c r="K89" t="s">
        <v>34</v>
      </c>
      <c r="L89">
        <v>13</v>
      </c>
      <c r="M89">
        <v>2</v>
      </c>
      <c r="N89">
        <f t="shared" si="2"/>
        <v>2024</v>
      </c>
    </row>
    <row r="90" spans="1:14" x14ac:dyDescent="0.3">
      <c r="A90" t="s">
        <v>127</v>
      </c>
      <c r="B90" t="s">
        <v>19</v>
      </c>
      <c r="C90" t="s">
        <v>25</v>
      </c>
      <c r="D90" s="1">
        <v>45592</v>
      </c>
      <c r="E90" t="s">
        <v>26</v>
      </c>
      <c r="F90">
        <v>19</v>
      </c>
      <c r="G90">
        <v>49</v>
      </c>
      <c r="H90">
        <v>2</v>
      </c>
      <c r="I90">
        <v>12</v>
      </c>
      <c r="J90">
        <v>9</v>
      </c>
      <c r="K90" t="s">
        <v>17</v>
      </c>
      <c r="L90">
        <v>20</v>
      </c>
      <c r="M90">
        <v>1</v>
      </c>
      <c r="N90">
        <f t="shared" si="2"/>
        <v>2024</v>
      </c>
    </row>
    <row r="91" spans="1:14" x14ac:dyDescent="0.3">
      <c r="A91" t="s">
        <v>128</v>
      </c>
      <c r="B91" t="s">
        <v>14</v>
      </c>
      <c r="C91" t="s">
        <v>45</v>
      </c>
      <c r="D91" s="1">
        <v>45051</v>
      </c>
      <c r="E91" t="s">
        <v>16</v>
      </c>
      <c r="F91">
        <v>18</v>
      </c>
      <c r="G91">
        <v>46</v>
      </c>
      <c r="H91">
        <v>2</v>
      </c>
      <c r="I91">
        <v>11</v>
      </c>
      <c r="J91">
        <v>6</v>
      </c>
      <c r="K91" t="s">
        <v>48</v>
      </c>
      <c r="L91">
        <v>17</v>
      </c>
      <c r="M91">
        <v>4</v>
      </c>
      <c r="N91">
        <f t="shared" si="2"/>
        <v>2023</v>
      </c>
    </row>
    <row r="92" spans="1:14" x14ac:dyDescent="0.3">
      <c r="A92" t="s">
        <v>129</v>
      </c>
      <c r="B92" t="s">
        <v>24</v>
      </c>
      <c r="C92" t="s">
        <v>29</v>
      </c>
      <c r="D92" s="1">
        <v>45360</v>
      </c>
      <c r="E92" t="s">
        <v>30</v>
      </c>
      <c r="F92" t="s">
        <v>72</v>
      </c>
      <c r="G92">
        <v>50</v>
      </c>
      <c r="H92">
        <v>2</v>
      </c>
      <c r="I92">
        <v>8</v>
      </c>
      <c r="J92">
        <v>6</v>
      </c>
      <c r="K92" t="s">
        <v>22</v>
      </c>
      <c r="L92">
        <v>12</v>
      </c>
      <c r="M92">
        <v>2</v>
      </c>
      <c r="N92">
        <f t="shared" si="2"/>
        <v>2024</v>
      </c>
    </row>
    <row r="93" spans="1:14" x14ac:dyDescent="0.3">
      <c r="A93" t="s">
        <v>130</v>
      </c>
      <c r="B93" t="s">
        <v>14</v>
      </c>
      <c r="C93" t="s">
        <v>25</v>
      </c>
      <c r="D93" s="1">
        <v>45484</v>
      </c>
      <c r="E93" t="s">
        <v>21</v>
      </c>
      <c r="F93">
        <v>15</v>
      </c>
      <c r="G93">
        <v>38</v>
      </c>
      <c r="H93">
        <v>2</v>
      </c>
      <c r="I93">
        <v>10</v>
      </c>
      <c r="J93">
        <v>4</v>
      </c>
      <c r="K93" t="s">
        <v>34</v>
      </c>
      <c r="L93">
        <v>18</v>
      </c>
      <c r="M93">
        <v>3</v>
      </c>
      <c r="N93">
        <f t="shared" si="2"/>
        <v>2024</v>
      </c>
    </row>
    <row r="94" spans="1:14" x14ac:dyDescent="0.3">
      <c r="A94" t="s">
        <v>131</v>
      </c>
      <c r="B94" t="s">
        <v>28</v>
      </c>
      <c r="C94" t="s">
        <v>36</v>
      </c>
      <c r="D94" s="1">
        <v>45181</v>
      </c>
      <c r="E94" t="s">
        <v>53</v>
      </c>
      <c r="F94">
        <v>18</v>
      </c>
      <c r="G94">
        <v>20</v>
      </c>
      <c r="H94">
        <v>6</v>
      </c>
      <c r="I94">
        <v>13</v>
      </c>
      <c r="J94">
        <v>5</v>
      </c>
      <c r="K94" t="s">
        <v>48</v>
      </c>
      <c r="L94">
        <v>17</v>
      </c>
      <c r="M94">
        <v>1</v>
      </c>
      <c r="N94">
        <f t="shared" si="2"/>
        <v>2023</v>
      </c>
    </row>
    <row r="95" spans="1:14" x14ac:dyDescent="0.3">
      <c r="A95" t="s">
        <v>132</v>
      </c>
      <c r="B95" t="s">
        <v>19</v>
      </c>
      <c r="C95" t="s">
        <v>45</v>
      </c>
      <c r="D95" s="1">
        <v>45647</v>
      </c>
      <c r="E95" t="s">
        <v>16</v>
      </c>
      <c r="F95">
        <v>19</v>
      </c>
      <c r="G95">
        <v>36</v>
      </c>
      <c r="H95">
        <v>2</v>
      </c>
      <c r="I95">
        <v>12</v>
      </c>
      <c r="J95">
        <v>6</v>
      </c>
      <c r="K95" t="s">
        <v>17</v>
      </c>
      <c r="L95">
        <v>15</v>
      </c>
      <c r="M95">
        <v>4</v>
      </c>
      <c r="N95">
        <f t="shared" si="2"/>
        <v>2024</v>
      </c>
    </row>
    <row r="96" spans="1:14" x14ac:dyDescent="0.3">
      <c r="A96" t="s">
        <v>133</v>
      </c>
      <c r="B96" t="s">
        <v>24</v>
      </c>
      <c r="C96" t="s">
        <v>15</v>
      </c>
      <c r="D96" s="1">
        <v>45307</v>
      </c>
      <c r="E96" t="s">
        <v>30</v>
      </c>
      <c r="F96">
        <v>12</v>
      </c>
      <c r="G96">
        <v>23</v>
      </c>
      <c r="H96">
        <v>2</v>
      </c>
      <c r="I96">
        <v>15</v>
      </c>
      <c r="J96">
        <v>4</v>
      </c>
      <c r="K96" t="s">
        <v>17</v>
      </c>
      <c r="L96">
        <v>14</v>
      </c>
      <c r="M96">
        <v>2</v>
      </c>
      <c r="N96">
        <f t="shared" si="2"/>
        <v>2024</v>
      </c>
    </row>
    <row r="97" spans="1:14" x14ac:dyDescent="0.3">
      <c r="A97" t="s">
        <v>134</v>
      </c>
      <c r="B97" t="s">
        <v>14</v>
      </c>
      <c r="C97" t="s">
        <v>20</v>
      </c>
      <c r="D97" s="1">
        <v>45111</v>
      </c>
      <c r="E97" t="s">
        <v>21</v>
      </c>
      <c r="F97">
        <v>16</v>
      </c>
      <c r="G97">
        <v>44</v>
      </c>
      <c r="H97">
        <v>2</v>
      </c>
      <c r="I97">
        <v>11</v>
      </c>
      <c r="J97">
        <v>8</v>
      </c>
      <c r="K97" t="s">
        <v>22</v>
      </c>
      <c r="L97">
        <v>19</v>
      </c>
      <c r="M97">
        <v>3</v>
      </c>
      <c r="N97">
        <f t="shared" si="2"/>
        <v>2023</v>
      </c>
    </row>
    <row r="98" spans="1:14" x14ac:dyDescent="0.3">
      <c r="A98" t="s">
        <v>135</v>
      </c>
      <c r="B98" t="s">
        <v>14</v>
      </c>
      <c r="C98" t="s">
        <v>29</v>
      </c>
      <c r="D98" s="1">
        <v>45254</v>
      </c>
      <c r="E98" t="s">
        <v>26</v>
      </c>
      <c r="F98" t="s">
        <v>54</v>
      </c>
      <c r="G98">
        <v>5</v>
      </c>
      <c r="H98">
        <v>2</v>
      </c>
      <c r="I98">
        <v>14</v>
      </c>
      <c r="J98">
        <v>7</v>
      </c>
      <c r="K98" t="s">
        <v>48</v>
      </c>
      <c r="L98">
        <v>16</v>
      </c>
      <c r="M98">
        <v>5</v>
      </c>
      <c r="N98">
        <f t="shared" si="2"/>
        <v>2023</v>
      </c>
    </row>
    <row r="99" spans="1:14" x14ac:dyDescent="0.3">
      <c r="A99" t="s">
        <v>136</v>
      </c>
      <c r="B99" t="s">
        <v>28</v>
      </c>
      <c r="C99" t="s">
        <v>36</v>
      </c>
      <c r="D99" s="1">
        <v>45084</v>
      </c>
      <c r="E99" t="s">
        <v>53</v>
      </c>
      <c r="F99">
        <v>17</v>
      </c>
      <c r="G99">
        <v>11</v>
      </c>
      <c r="H99">
        <v>5</v>
      </c>
      <c r="I99">
        <v>8</v>
      </c>
      <c r="J99">
        <v>5</v>
      </c>
      <c r="K99" t="s">
        <v>34</v>
      </c>
      <c r="L99">
        <v>13</v>
      </c>
      <c r="M99">
        <v>2</v>
      </c>
      <c r="N99">
        <f t="shared" si="2"/>
        <v>2023</v>
      </c>
    </row>
    <row r="100" spans="1:14" x14ac:dyDescent="0.3">
      <c r="A100" t="s">
        <v>137</v>
      </c>
      <c r="B100" t="s">
        <v>19</v>
      </c>
      <c r="C100" t="s">
        <v>25</v>
      </c>
      <c r="D100" s="1">
        <v>45227</v>
      </c>
      <c r="E100" t="s">
        <v>16</v>
      </c>
      <c r="F100">
        <v>19</v>
      </c>
      <c r="G100">
        <v>49</v>
      </c>
      <c r="H100">
        <v>10</v>
      </c>
      <c r="I100">
        <v>12</v>
      </c>
      <c r="J100">
        <v>9</v>
      </c>
      <c r="K100" t="s">
        <v>17</v>
      </c>
      <c r="L100">
        <v>20</v>
      </c>
      <c r="M100">
        <v>1</v>
      </c>
      <c r="N100">
        <f t="shared" si="2"/>
        <v>2023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akshatabiradar274@outlook.com</cp:lastModifiedBy>
  <dcterms:created xsi:type="dcterms:W3CDTF">2025-02-26T13:04:02Z</dcterms:created>
  <dcterms:modified xsi:type="dcterms:W3CDTF">2026-01-09T09:57:54Z</dcterms:modified>
</cp:coreProperties>
</file>